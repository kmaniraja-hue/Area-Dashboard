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668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calcPr calcId="171027"/>
</workbook>
</file>

<file path=xl/calcChain.xml><?xml version="1.0" encoding="utf-8"?>
<calcChain xmlns="http://schemas.openxmlformats.org/spreadsheetml/2006/main">
  <c r="G72" i="2" l="1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66" i="2"/>
  <c r="G67" i="2"/>
  <c r="G68" i="2"/>
  <c r="G69" i="2"/>
  <c r="G70" i="2"/>
  <c r="G71" i="2"/>
  <c r="G65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21" i="2"/>
  <c r="G2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58" i="2"/>
  <c r="G59" i="2"/>
  <c r="G60" i="2"/>
  <c r="G61" i="2"/>
  <c r="G62" i="2"/>
  <c r="G63" i="2"/>
  <c r="G64" i="2"/>
  <c r="G6" i="2"/>
  <c r="G3" i="2"/>
  <c r="G4" i="2"/>
  <c r="G5" i="2"/>
  <c r="G94" i="1" l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D54" i="1"/>
  <c r="D51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</calcChain>
</file>

<file path=xl/sharedStrings.xml><?xml version="1.0" encoding="utf-8"?>
<sst xmlns="http://schemas.openxmlformats.org/spreadsheetml/2006/main" count="1527" uniqueCount="489">
  <si>
    <t>NALCO</t>
  </si>
  <si>
    <t>SERVERS</t>
  </si>
  <si>
    <t>DESCRIPTION OF NODE</t>
  </si>
  <si>
    <t>NODE NAME</t>
  </si>
  <si>
    <t>IP-1</t>
  </si>
  <si>
    <t>SUBNET MASK</t>
  </si>
  <si>
    <t>Default Gateway</t>
  </si>
  <si>
    <t>DEVICE INDEX</t>
  </si>
  <si>
    <t>LOCATION</t>
  </si>
  <si>
    <t xml:space="preserve">Red Server Primary </t>
  </si>
  <si>
    <t>SERR1A</t>
  </si>
  <si>
    <t>172.16.0.21</t>
  </si>
  <si>
    <t xml:space="preserve">255.255.248.0 </t>
  </si>
  <si>
    <t>172.16.0.100</t>
  </si>
  <si>
    <t>CCR</t>
  </si>
  <si>
    <t xml:space="preserve">Red Server Secondary </t>
  </si>
  <si>
    <t>SERR1B</t>
  </si>
  <si>
    <t>172.16.0.23</t>
  </si>
  <si>
    <t xml:space="preserve">White Server Primary </t>
  </si>
  <si>
    <t>WSERR1A</t>
  </si>
  <si>
    <t>172.16.0.25</t>
  </si>
  <si>
    <t>172.16.0.55</t>
  </si>
  <si>
    <t xml:space="preserve">White Server Secondary </t>
  </si>
  <si>
    <t>WSERR1B</t>
  </si>
  <si>
    <t>172.16.0.27</t>
  </si>
  <si>
    <t>OPERATING CONSOLE/FLEX</t>
  </si>
  <si>
    <t>CCR Operator Station-1</t>
  </si>
  <si>
    <t>CCROS1</t>
  </si>
  <si>
    <t>172.16.0.33</t>
  </si>
  <si>
    <t>N/A</t>
  </si>
  <si>
    <t>CCR-WHITE</t>
  </si>
  <si>
    <t>CCR Operator Station-2</t>
  </si>
  <si>
    <t>CCROS2</t>
  </si>
  <si>
    <t>172.16.1.21</t>
  </si>
  <si>
    <t>CCR-RED</t>
  </si>
  <si>
    <t>CCR Operator Station-3</t>
  </si>
  <si>
    <t>CCROS3</t>
  </si>
  <si>
    <t>172.16.1.23</t>
  </si>
  <si>
    <t>CCR Operator Station-4</t>
  </si>
  <si>
    <t>CCROS4</t>
  </si>
  <si>
    <t>172.16.0.35</t>
  </si>
  <si>
    <t>CCR Operator Station-5</t>
  </si>
  <si>
    <t>CCROS5</t>
  </si>
  <si>
    <t>172.16.1.25</t>
  </si>
  <si>
    <t>CCR Operator Station-6</t>
  </si>
  <si>
    <t>CCROS6</t>
  </si>
  <si>
    <t>172.16.1.27</t>
  </si>
  <si>
    <t>CCR Engineering Station-1</t>
  </si>
  <si>
    <t>ES-1</t>
  </si>
  <si>
    <t>172.16.1.29</t>
  </si>
  <si>
    <t>CCR Engineering Station-2</t>
  </si>
  <si>
    <t>ES-2</t>
  </si>
  <si>
    <t>172.16.1.31</t>
  </si>
  <si>
    <t>Supervisory Station</t>
  </si>
  <si>
    <t>SUP-STN</t>
  </si>
  <si>
    <t>172.16.1.33</t>
  </si>
  <si>
    <t>CS2 Operator Station-1</t>
  </si>
  <si>
    <t>CS2-OS1</t>
  </si>
  <si>
    <t>172.16.0.37</t>
  </si>
  <si>
    <t>CS2-RED</t>
  </si>
  <si>
    <t>CS4 Operator Station-1</t>
  </si>
  <si>
    <t>CS4-OS1</t>
  </si>
  <si>
    <t>172.16.0.39</t>
  </si>
  <si>
    <t>CS4-WHITE</t>
  </si>
  <si>
    <t>CS5 Operator Station-1</t>
  </si>
  <si>
    <t>CS5-OS1</t>
  </si>
  <si>
    <t>172.16.0.41</t>
  </si>
  <si>
    <t>CS5-WHITE</t>
  </si>
  <si>
    <t>CS6 Operator Station-1</t>
  </si>
  <si>
    <t>CS6OS1</t>
  </si>
  <si>
    <t>172.16.0.43</t>
  </si>
  <si>
    <t>CS6-WHITE</t>
  </si>
  <si>
    <t>CS7 Operator Station-1</t>
  </si>
  <si>
    <t>CS7-OS1</t>
  </si>
  <si>
    <t>172.16.0.45</t>
  </si>
  <si>
    <t>CS7-RED</t>
  </si>
  <si>
    <t>CS9 Operator Station-1</t>
  </si>
  <si>
    <t>CS9-OS1</t>
  </si>
  <si>
    <t>172.16.0.47</t>
  </si>
  <si>
    <t>CS9-WHITE</t>
  </si>
  <si>
    <t>CS10 Operator Station-1</t>
  </si>
  <si>
    <t>CS10-OS1</t>
  </si>
  <si>
    <t>172.16.0.49</t>
  </si>
  <si>
    <t>CS10-RED</t>
  </si>
  <si>
    <t>CS11 Operator Station-1</t>
  </si>
  <si>
    <t>CS11OS1</t>
  </si>
  <si>
    <t>172.16.0.51</t>
  </si>
  <si>
    <t>CS11-WHITE</t>
  </si>
  <si>
    <t>CS2 Operator Station-2</t>
  </si>
  <si>
    <t>CS2-OS2</t>
  </si>
  <si>
    <t>172.16.1.35</t>
  </si>
  <si>
    <t>CS2 Operator Station-3</t>
  </si>
  <si>
    <t>CS2-OS3</t>
  </si>
  <si>
    <t>172.16.1.37</t>
  </si>
  <si>
    <t>CS4 Operator Station-2</t>
  </si>
  <si>
    <t>CS4-OS2</t>
  </si>
  <si>
    <t>172.16.1.39</t>
  </si>
  <si>
    <t>CS4 Operator Station-3</t>
  </si>
  <si>
    <t>CS4-OS3</t>
  </si>
  <si>
    <t>172.16.1.41</t>
  </si>
  <si>
    <t>CS5 Operator Station-2</t>
  </si>
  <si>
    <t>CS5-OS2</t>
  </si>
  <si>
    <t>172.16.1.43</t>
  </si>
  <si>
    <t>CS5 Operator Station-3</t>
  </si>
  <si>
    <t>CS5-OS3</t>
  </si>
  <si>
    <t>172.16.1.45</t>
  </si>
  <si>
    <t>CS6 Operator Station-2</t>
  </si>
  <si>
    <t>CS6OS2</t>
  </si>
  <si>
    <t>172.16.1.47</t>
  </si>
  <si>
    <t>CS6 Operator Station-3</t>
  </si>
  <si>
    <t>CS6OS3</t>
  </si>
  <si>
    <t>172.16.1.49</t>
  </si>
  <si>
    <t>CS6 Operator Station-4</t>
  </si>
  <si>
    <t>CS6OS4</t>
  </si>
  <si>
    <t>172.16.1.61</t>
  </si>
  <si>
    <t>CS6 Operator Station-5</t>
  </si>
  <si>
    <t>172.16.1.67</t>
  </si>
  <si>
    <t>CS7 Operator Station-2</t>
  </si>
  <si>
    <t>CS7-OS2</t>
  </si>
  <si>
    <t>172.16.1.51</t>
  </si>
  <si>
    <t>CS7 Operator Station-3</t>
  </si>
  <si>
    <t>CS7-OS3</t>
  </si>
  <si>
    <t>172.16.1.53</t>
  </si>
  <si>
    <t>CS9 Operator Station-2</t>
  </si>
  <si>
    <t>CS9-OS2</t>
  </si>
  <si>
    <t>172.16.1.55</t>
  </si>
  <si>
    <t>CS10 Operator Station-2</t>
  </si>
  <si>
    <t>CS10-OS2</t>
  </si>
  <si>
    <t>172.16.1.57</t>
  </si>
  <si>
    <t>CS10 Operator Station-3</t>
  </si>
  <si>
    <t>CS10-OS3</t>
  </si>
  <si>
    <t>172.16.1.65</t>
  </si>
  <si>
    <t>CS11 Operator Station-2</t>
  </si>
  <si>
    <t>CS11OS2</t>
  </si>
  <si>
    <t>172.16.1.59</t>
  </si>
  <si>
    <t>CS11 Operator Station-3</t>
  </si>
  <si>
    <t>CS11-OS3</t>
  </si>
  <si>
    <t>172.16.1.63</t>
  </si>
  <si>
    <t>SPARE STATION-1 ONLY OS</t>
  </si>
  <si>
    <t>CCR-TEST01</t>
  </si>
  <si>
    <t>172.16.1.198</t>
  </si>
  <si>
    <t>SPARE STATION-2 ONLY OS</t>
  </si>
  <si>
    <t>CCR-TEST02</t>
  </si>
  <si>
    <t>172.16.1.71</t>
  </si>
  <si>
    <t>VM NODES</t>
  </si>
  <si>
    <t>E Server</t>
  </si>
  <si>
    <t>ESERVER</t>
  </si>
  <si>
    <t>EBR Server</t>
  </si>
  <si>
    <t>EBR-SERVER</t>
  </si>
  <si>
    <t>NMS</t>
  </si>
  <si>
    <t>NMSMGT</t>
  </si>
  <si>
    <t>172.16.0.81</t>
  </si>
  <si>
    <t>VM MANAGEMENT</t>
  </si>
  <si>
    <t>VWMNGMT</t>
  </si>
  <si>
    <t>172.16.0.83</t>
  </si>
  <si>
    <t>Cisco SG95D 8 Port Switch</t>
  </si>
  <si>
    <t>VMMGTSW</t>
  </si>
  <si>
    <t>172.16.0.220</t>
  </si>
  <si>
    <t>FTEB RED CS02 C200-CONTROLLER-1 PRIMARY</t>
  </si>
  <si>
    <t>FTEB_CS02_C1_P</t>
  </si>
  <si>
    <t>172.16.4.61</t>
  </si>
  <si>
    <t>255.255.248.0</t>
  </si>
  <si>
    <t>FTEB RED CS02 C200-CONTROLLER-1 SECONDARY</t>
  </si>
  <si>
    <t>FTEB_CS02_C1_S</t>
  </si>
  <si>
    <t>172.16.4.62</t>
  </si>
  <si>
    <t>FTEB RED CS02 C200-CONTROLLER-2 PRIMARY</t>
  </si>
  <si>
    <t>FTEB_CS02_C2_P</t>
  </si>
  <si>
    <t>172.16.4.63</t>
  </si>
  <si>
    <t>FTEB RED CS02 C200-CONTROLLER-2 SECONDARY</t>
  </si>
  <si>
    <t>FTEB_CS02_C2_S</t>
  </si>
  <si>
    <t>172.16.4.64</t>
  </si>
  <si>
    <t>FTEB RED CS02 C200-CONTROLLER-3 PRIMARY</t>
  </si>
  <si>
    <t>FTEB_CS02_C3_P</t>
  </si>
  <si>
    <t>172.16.4.65</t>
  </si>
  <si>
    <t>FTEB RED CS02 C200-CONTROLLER-3 SECONDARY</t>
  </si>
  <si>
    <t>FTEB_CS02_C3_S</t>
  </si>
  <si>
    <t>172.16.4.66</t>
  </si>
  <si>
    <t>FTEB RED CS07 C200-CONTROLLER-1 PRIMARY</t>
  </si>
  <si>
    <t>FTEB_CS07_C1_P</t>
  </si>
  <si>
    <t>172.16.4.83</t>
  </si>
  <si>
    <t>FTEB RED CS07 C200-CONTROLLER-1 SECONDARY</t>
  </si>
  <si>
    <t>FTEB_CS07_C1_S</t>
  </si>
  <si>
    <t>172.16.4.84</t>
  </si>
  <si>
    <t>FTEB RED CS07 C200-CONTROLLER-2 PRIMARY</t>
  </si>
  <si>
    <t>FTEB_CS07_C2_P</t>
  </si>
  <si>
    <t>172.16.4.85</t>
  </si>
  <si>
    <t>FTEB RED CS07 C200-CONTROLLER-2 SECONDARY</t>
  </si>
  <si>
    <t>FTEB_CS07_C2_S</t>
  </si>
  <si>
    <t>172.16.4.86</t>
  </si>
  <si>
    <t>FTEB RED CS07 C200-CONTROLLER-3 PRIMARY</t>
  </si>
  <si>
    <t>FTEB_CS07_C3_P</t>
  </si>
  <si>
    <t>172.16.4.87</t>
  </si>
  <si>
    <t>FTEB RED CS07 C200-CONTROLLER-3 SECONDARY</t>
  </si>
  <si>
    <t>FTEB_CS07_C3_S</t>
  </si>
  <si>
    <t>172.16.4.88</t>
  </si>
  <si>
    <t>FTEB RED CS10 C200-CONTROLLER-1 PRIMARY</t>
  </si>
  <si>
    <t>FTEB_CS10_C1_P</t>
  </si>
  <si>
    <t>172.16.4.91</t>
  </si>
  <si>
    <t>FTEB RED CS10 C200-CONTROLLER-1 SECONDARY</t>
  </si>
  <si>
    <t>FTEB_CS10_C1_S</t>
  </si>
  <si>
    <t>172.16.4.92</t>
  </si>
  <si>
    <t>FTEB WHITE CS04 C200-CONTROLLER-1 PRIMARY</t>
  </si>
  <si>
    <t>FTEB_CS04_C1_P</t>
  </si>
  <si>
    <t>172.16.4.67</t>
  </si>
  <si>
    <t>FTEB WHITE CS04 C200-CONTROLLER-1 SECONDARY</t>
  </si>
  <si>
    <t>FTEB_CS04_C1_S</t>
  </si>
  <si>
    <t>172.16.4.68</t>
  </si>
  <si>
    <t>FTEB WHITE CS04 C200-CONTROLLER-2 PRIMARY</t>
  </si>
  <si>
    <t>FTEB_CS04_C2_P</t>
  </si>
  <si>
    <t>172.16.4.69</t>
  </si>
  <si>
    <t>FTEB WHITE CS04 C200-CONTROLLER-2 SECONDARY</t>
  </si>
  <si>
    <t>FTEB_CS04_C2_S</t>
  </si>
  <si>
    <t>172.16.4.70</t>
  </si>
  <si>
    <t>FTEB WHITE CS04 C200-CONTROLLER-3 PRIMARY</t>
  </si>
  <si>
    <t>FTEB_CS04_C3_P</t>
  </si>
  <si>
    <t>172.16.4.71</t>
  </si>
  <si>
    <t>FTEB WHITE CS04 C200-CONTROLLER-3 SECONDARY</t>
  </si>
  <si>
    <t>FTEB_CS04_C3_S</t>
  </si>
  <si>
    <t>172.16.4.72</t>
  </si>
  <si>
    <t>FTEB WHITE CS05 C200-CONTROLLER-1 PRIMARY</t>
  </si>
  <si>
    <t>FTEB_CS05_C1_P</t>
  </si>
  <si>
    <t>172.16.4.73</t>
  </si>
  <si>
    <t>FTEB WHITE CS05 C200-CONTROLLER-1 SECONDARY</t>
  </si>
  <si>
    <t>FTEB_CS05_C1_S</t>
  </si>
  <si>
    <t>172.16.4.74</t>
  </si>
  <si>
    <t>FTEB WHITE CS05 C200-CONTROLLER-2 PRIMARY</t>
  </si>
  <si>
    <t>FTEB_CS05_C2_P</t>
  </si>
  <si>
    <t>172.16.4.75</t>
  </si>
  <si>
    <t>FTEB WHITE CS05 C200-CONTROLLER-2 SECONDARY</t>
  </si>
  <si>
    <t>FTEB_CS05_C2_S</t>
  </si>
  <si>
    <t>172.16.4.76</t>
  </si>
  <si>
    <t>FTEB WHITE CS05 C200-CONTROLLER-3 PRIMARY</t>
  </si>
  <si>
    <t>FTEB_CS05_C3_P</t>
  </si>
  <si>
    <t>172.16.4.77</t>
  </si>
  <si>
    <t>FTEB WHITE CS05 C200-CONTROLLER-3 SECONDARY</t>
  </si>
  <si>
    <t>FTEB_CS05_C3_S</t>
  </si>
  <si>
    <t>172.16.4.78</t>
  </si>
  <si>
    <t>FTEB WHITE CS06 C200-CONTROLLER-1 PRIMARY</t>
  </si>
  <si>
    <t>FTEB_CS06_C1_P</t>
  </si>
  <si>
    <t>172.16.4.79</t>
  </si>
  <si>
    <t>FTEB WHITE CS06 C200-CONTROLLER-1 SECONDARY</t>
  </si>
  <si>
    <t>FTEB_CS06_C1_S</t>
  </si>
  <si>
    <t>172.16.4.80</t>
  </si>
  <si>
    <t>FTEB WHITE CS06 C200-CONTROLLER-2 PRIMARY</t>
  </si>
  <si>
    <t>FTEB_CS06_C2_P</t>
  </si>
  <si>
    <t>172.16.4.81</t>
  </si>
  <si>
    <t>FTEB WHITE CS06 C200-CONTROLLER-2 SECONDARY</t>
  </si>
  <si>
    <t>FTEB_CS06_C2_S</t>
  </si>
  <si>
    <t>172.16.4.82</t>
  </si>
  <si>
    <t>FTEB WHITE CS09 C200-CONTROLLER-1 PRIMARY</t>
  </si>
  <si>
    <t>FTEB_CS09_C1_P</t>
  </si>
  <si>
    <t>172.16.4.89</t>
  </si>
  <si>
    <t>FTEB WHITE CS09 C200-CONTROLLER-1 SECONDARY</t>
  </si>
  <si>
    <t>FTEB_CS09_C1_S</t>
  </si>
  <si>
    <t>172.16.4.90</t>
  </si>
  <si>
    <t>FTEB WHITE CS11 C200-CONTROLLER-1 PRIMARY</t>
  </si>
  <si>
    <t>FTEB_CS11_C1_P</t>
  </si>
  <si>
    <t>172.16.4.93</t>
  </si>
  <si>
    <t>FTEB WHITE CS11 C200-CONTROLLER-1 SECONDARY</t>
  </si>
  <si>
    <t>FTEB_CS11_C1_S</t>
  </si>
  <si>
    <t>172.16.4.94</t>
  </si>
  <si>
    <t>Switches</t>
  </si>
  <si>
    <t>DEFAULT GATEWAY</t>
  </si>
  <si>
    <t>CISCO 48 Port CCR SWITCH PRIMARY</t>
  </si>
  <si>
    <t>CCR_ES1(Y)</t>
  </si>
  <si>
    <t>172.16.0.201</t>
  </si>
  <si>
    <t>CISCO 48 Port CCR SWITCH SECONDARY</t>
  </si>
  <si>
    <t>CCR_ES2(G)</t>
  </si>
  <si>
    <t>172.16.0.202</t>
  </si>
  <si>
    <t>CISCO 24 Port CS02 SWITCH PRIMARY</t>
  </si>
  <si>
    <t>CS02_ES1(Y)</t>
  </si>
  <si>
    <t>172.16.2.203</t>
  </si>
  <si>
    <t>CS02</t>
  </si>
  <si>
    <t>CISCO 24 Port CS02 SWITCH SECONDARY</t>
  </si>
  <si>
    <t>CS02_ES1(G)</t>
  </si>
  <si>
    <t>172.16.2.204</t>
  </si>
  <si>
    <t>CISCO 24 Port CS04 SWITCH PRIMARY</t>
  </si>
  <si>
    <t>CS04_ES1(Y)</t>
  </si>
  <si>
    <t>172.16.2.205</t>
  </si>
  <si>
    <t>CS04</t>
  </si>
  <si>
    <t>CISCO 24 Port CS04 SWITCH SECONDARY</t>
  </si>
  <si>
    <t>CS04_ES1(G)</t>
  </si>
  <si>
    <t>172.16.2.206</t>
  </si>
  <si>
    <t>CISCO 24 Port CS05 SWITCH PRIMARY</t>
  </si>
  <si>
    <t>CS05_ES1(Y)</t>
  </si>
  <si>
    <t>172.16.2.207</t>
  </si>
  <si>
    <t>CS05</t>
  </si>
  <si>
    <t>CISCO 24 Port CS05 SWITCH SECONDARY</t>
  </si>
  <si>
    <t>CS05_ES1(G)</t>
  </si>
  <si>
    <t>172.16.2.208</t>
  </si>
  <si>
    <t>CISCO 24 Port CS06 SWITCH PRIMARY</t>
  </si>
  <si>
    <t>CS06_ES1(Y)</t>
  </si>
  <si>
    <t>172.16.0.209</t>
  </si>
  <si>
    <t>CS06</t>
  </si>
  <si>
    <t>CISCO 24 Port CS06 SWITCH SECONDARY</t>
  </si>
  <si>
    <t>CS06_ES1(G)</t>
  </si>
  <si>
    <t>172.16.0.210</t>
  </si>
  <si>
    <t>CISCO 24 Port CS07 SWITCH PRIMARY</t>
  </si>
  <si>
    <t>CS07_ES1(Y)</t>
  </si>
  <si>
    <t>172.16.2.211</t>
  </si>
  <si>
    <t>CS07</t>
  </si>
  <si>
    <t>CISCO 24 Port CS07 SWITCH SECONDARY</t>
  </si>
  <si>
    <t>CS07_ES1(G)</t>
  </si>
  <si>
    <t>172.16.2.212</t>
  </si>
  <si>
    <t>CISCO 24 Port CS09 SWITCH PRIMARY</t>
  </si>
  <si>
    <t>CS09_ES1(Y)</t>
  </si>
  <si>
    <t>172.16.2.213</t>
  </si>
  <si>
    <t>CS09</t>
  </si>
  <si>
    <t>CISCO 24 Port CS09 SWITCH SECONDARY</t>
  </si>
  <si>
    <t>CS09_ES1(G)</t>
  </si>
  <si>
    <t>172.16.2.214</t>
  </si>
  <si>
    <t>CISCO 24 Port CS10 SWITCH PRIMARY</t>
  </si>
  <si>
    <t>CS10_ES1(Y)</t>
  </si>
  <si>
    <t>172.16.2.215</t>
  </si>
  <si>
    <t>CS10</t>
  </si>
  <si>
    <t>CISCO 24 Port CS10 SWITCH SECONDARY</t>
  </si>
  <si>
    <t>CS10_ES1(G)</t>
  </si>
  <si>
    <t>172.16.2.216</t>
  </si>
  <si>
    <t>CISCO 24 Port CS11 SWITCH PRIMARY</t>
  </si>
  <si>
    <t>CS11_ES1(Y)</t>
  </si>
  <si>
    <t>172.16.0.217</t>
  </si>
  <si>
    <t>CS11</t>
  </si>
  <si>
    <t>CISCO 24 Port CS11 SWITCH SECONDARY</t>
  </si>
  <si>
    <t>CS11_ES1(G)</t>
  </si>
  <si>
    <t>172.16.0.218</t>
  </si>
  <si>
    <t>CISCO 24 Port CS11 SWITCH SPARE</t>
  </si>
  <si>
    <t>TEST-SW</t>
  </si>
  <si>
    <t>172.16.0.219</t>
  </si>
  <si>
    <t>FIREWALL</t>
  </si>
  <si>
    <t>Terminal Servers</t>
  </si>
  <si>
    <t>CS2 Primary Terminal Server</t>
  </si>
  <si>
    <t>CS2_TS_P</t>
  </si>
  <si>
    <t>172.16.2.21</t>
  </si>
  <si>
    <t>CS2</t>
  </si>
  <si>
    <t>CS2 Secondary Terminal Server</t>
  </si>
  <si>
    <t>CS2_TS_R</t>
  </si>
  <si>
    <t>172.16.2.22</t>
  </si>
  <si>
    <t>CS4 Primary Terminal Server</t>
  </si>
  <si>
    <t>CS4_TS_P</t>
  </si>
  <si>
    <t>172.16.2.23</t>
  </si>
  <si>
    <t>CS4</t>
  </si>
  <si>
    <t>CS4 Secondary Terminal Server</t>
  </si>
  <si>
    <t>CS4_TS_R</t>
  </si>
  <si>
    <t>172.16.2.24</t>
  </si>
  <si>
    <t>CS5 Primary Terminal Server</t>
  </si>
  <si>
    <t>CS5_TS_P</t>
  </si>
  <si>
    <t>172.16.2.25</t>
  </si>
  <si>
    <t>CS5</t>
  </si>
  <si>
    <t>CS5 Secondary Terminal Server</t>
  </si>
  <si>
    <t>CS5_TS_R</t>
  </si>
  <si>
    <t>172.16.2.26</t>
  </si>
  <si>
    <t>CS6 Primary Terminal Server</t>
  </si>
  <si>
    <t>CS6_TS_P</t>
  </si>
  <si>
    <t>172.16.2.27</t>
  </si>
  <si>
    <t>CS6</t>
  </si>
  <si>
    <t>CS6 Secondary Terminal Server</t>
  </si>
  <si>
    <t>CS6_TS_R</t>
  </si>
  <si>
    <t>172.16.2.28</t>
  </si>
  <si>
    <t>CS7 Primary Terminal Server</t>
  </si>
  <si>
    <t>CS7_TS_P</t>
  </si>
  <si>
    <t>172.16.2.29</t>
  </si>
  <si>
    <t>CS7</t>
  </si>
  <si>
    <t>CS7 Secondary Terminal Server</t>
  </si>
  <si>
    <t>CS7_TS_R</t>
  </si>
  <si>
    <t>172.16.2.30</t>
  </si>
  <si>
    <t>CS9 Primary Terminal Server</t>
  </si>
  <si>
    <t>CS9_TS_P</t>
  </si>
  <si>
    <t>172.16.2.31</t>
  </si>
  <si>
    <t>CS9</t>
  </si>
  <si>
    <t>CS9 Secondary Terminal Server</t>
  </si>
  <si>
    <t>CS9_TS_R</t>
  </si>
  <si>
    <t>172.16.2.32</t>
  </si>
  <si>
    <t>CS10 Primary Terminal Server</t>
  </si>
  <si>
    <t>CS10_TS_P</t>
  </si>
  <si>
    <t>172.16.2.33</t>
  </si>
  <si>
    <t>CS10 Secondary Terminal Server</t>
  </si>
  <si>
    <t>CS10_TS_R</t>
  </si>
  <si>
    <t>172.16.2.34</t>
  </si>
  <si>
    <t>CS11 Primary Terminal Server</t>
  </si>
  <si>
    <t>CS11_TS_P</t>
  </si>
  <si>
    <t>172.16.2.37</t>
  </si>
  <si>
    <t>CS11 Secondary Terminal Server</t>
  </si>
  <si>
    <t>CS11_TS_R</t>
  </si>
  <si>
    <t>172.16.2.38</t>
  </si>
  <si>
    <t>PRINTERS</t>
  </si>
  <si>
    <t>PRINTER1</t>
  </si>
  <si>
    <t>PRN1</t>
  </si>
  <si>
    <t>172.16.2.51</t>
  </si>
  <si>
    <t>255.255.255.0</t>
  </si>
  <si>
    <t>PRINTER2</t>
  </si>
  <si>
    <t>PRN2</t>
  </si>
  <si>
    <t>172.16.2.53</t>
  </si>
  <si>
    <t>PRINTER3</t>
  </si>
  <si>
    <t>PRN3</t>
  </si>
  <si>
    <t>172.16.2.55</t>
  </si>
  <si>
    <t>PRINTER4</t>
  </si>
  <si>
    <t>PRN4</t>
  </si>
  <si>
    <t>172.16.2.57</t>
  </si>
  <si>
    <t>PRINTER5</t>
  </si>
  <si>
    <t>PRN5</t>
  </si>
  <si>
    <t>172.16.2.59</t>
  </si>
  <si>
    <t>GPS</t>
  </si>
  <si>
    <t>GPS-NTP</t>
  </si>
  <si>
    <t>192.168.2.201</t>
  </si>
  <si>
    <t>NA</t>
  </si>
  <si>
    <t>MEDIA CONVERTERS</t>
  </si>
  <si>
    <t>MEDIA CONVERTER-1</t>
  </si>
  <si>
    <t>MEDIA CONVERTER-2</t>
  </si>
  <si>
    <t>MEDIA CONVERTER-3</t>
  </si>
  <si>
    <t>MEDIA CONVERTER-4</t>
  </si>
  <si>
    <t>MEDIA CONVERTER-5</t>
  </si>
  <si>
    <t>MEDIA CONVERTER-6</t>
  </si>
  <si>
    <t>MEDIA CONVERTER-7</t>
  </si>
  <si>
    <t>MEDIA CONVERTER-8</t>
  </si>
  <si>
    <t>MEDIA CONVERTER-9</t>
  </si>
  <si>
    <t>MEDIA CONVERTER-10</t>
  </si>
  <si>
    <t>MEDIA CONVERTER-11</t>
  </si>
  <si>
    <t>MEDIA CONVERTER-12</t>
  </si>
  <si>
    <t>MEDIA CONVERTER-13</t>
  </si>
  <si>
    <t>MEDIA CONVERTER-14</t>
  </si>
  <si>
    <t>MEDIA CONVERTER-15</t>
  </si>
  <si>
    <t>MEDIA CONVERTER-16</t>
  </si>
  <si>
    <t>MEDIA CONVERTER-17</t>
  </si>
  <si>
    <t>MEDIA CONVERTER-18</t>
  </si>
  <si>
    <t>MEDIA CONVERTER-19</t>
  </si>
  <si>
    <t>MEDIA CONVERTER-20</t>
  </si>
  <si>
    <t>MEDIA CONVERTER-21</t>
  </si>
  <si>
    <t>MEDIA CONVERTER-22</t>
  </si>
  <si>
    <t>MEDIA CONVERTER-23</t>
  </si>
  <si>
    <t>MEDIA CONVERTER-24</t>
  </si>
  <si>
    <t>MEDIA CONVERTER-25</t>
  </si>
  <si>
    <t>MEDIA CONVERTER-26</t>
  </si>
  <si>
    <t>MEDIA CONVERTER-27</t>
  </si>
  <si>
    <t>MEDIA CONVERTER-28</t>
  </si>
  <si>
    <t>MEDIA CONVERTER-29</t>
  </si>
  <si>
    <t>MEDIA CONVERTER-30</t>
  </si>
  <si>
    <t>MEDIA CONVERTER-31</t>
  </si>
  <si>
    <t>MEDIA CONVERTER-32</t>
  </si>
  <si>
    <t>172.16.0.31</t>
  </si>
  <si>
    <t>172.16.0.53</t>
  </si>
  <si>
    <t>CS6OS5</t>
  </si>
  <si>
    <t>DMZ</t>
  </si>
  <si>
    <t>OUTSIDE IP</t>
  </si>
  <si>
    <t>INSIDE IP</t>
  </si>
  <si>
    <t>10.20.111.21/32</t>
  </si>
  <si>
    <t>172.16.0.198</t>
  </si>
  <si>
    <t>172.16.0.71</t>
  </si>
  <si>
    <t>NET</t>
  </si>
  <si>
    <t>INTGR</t>
  </si>
  <si>
    <t># Copyright (c) 1993-1999 Microsoft Corp.</t>
  </si>
  <si>
    <t>#</t>
  </si>
  <si>
    <t># This is a sample HOSTS file used by Microsoft TCP/IP for Windows.</t>
  </si>
  <si>
    <t># This file contains the mappings of IP addresses to host names. Each</t>
  </si>
  <si>
    <t># entry should be kept on an individual line. The IP address should</t>
  </si>
  <si>
    <t># be placed in the first column followed by the corresponding host name.</t>
  </si>
  <si>
    <t># The IP address and the host name should be separated by at least one</t>
  </si>
  <si>
    <t># space.</t>
  </si>
  <si>
    <t># Additionally, comments (such as these) may be inserted on individual</t>
  </si>
  <si>
    <t># lines or following the machine name denoted by a '#' symbol.</t>
  </si>
  <si>
    <t># For example:</t>
  </si>
  <si>
    <t>#      102.54.94.97     rhino.acme.com          # source server</t>
  </si>
  <si>
    <t>#       38.25.63.10     x.acme.com              # x client host</t>
  </si>
  <si>
    <t>127.0.0.1       localhost</t>
  </si>
  <si>
    <t>SERR1A SERR1A0</t>
  </si>
  <si>
    <t>SERR1B SERR1B0</t>
  </si>
  <si>
    <t>WSERR1A WSERR1A0</t>
  </si>
  <si>
    <t>WSERR1B0</t>
  </si>
  <si>
    <t>ESERVER ESERVER0</t>
  </si>
  <si>
    <t>172.16.0.53     EBR-SERVER</t>
  </si>
  <si>
    <t>172.16.0.198    CCR-TEST01</t>
  </si>
  <si>
    <t>ES1</t>
  </si>
  <si>
    <t>ES2</t>
  </si>
  <si>
    <t>192.168.2.212</t>
  </si>
  <si>
    <t>DROP212</t>
  </si>
  <si>
    <t>VWESXI1</t>
  </si>
  <si>
    <t>VWESXI2</t>
  </si>
  <si>
    <t>192.168.1.5</t>
  </si>
  <si>
    <t xml:space="preserve">255.255.255.0 </t>
  </si>
  <si>
    <t>192.168.1.4</t>
  </si>
  <si>
    <t>192.168.1.3</t>
  </si>
  <si>
    <t>ESXi Server 1 (For NMS and EBR VM's)</t>
  </si>
  <si>
    <t>ESXi Server 2 (For E-Server)</t>
  </si>
  <si>
    <t>CISCO ASA 5508 FIREWALL</t>
  </si>
  <si>
    <t>DCS-Firewall</t>
  </si>
  <si>
    <t>192.168.100.1/24</t>
  </si>
  <si>
    <t>Management</t>
  </si>
  <si>
    <t>192.168.1.1/24</t>
  </si>
  <si>
    <t>Controller</t>
  </si>
  <si>
    <t>For Communication between MSS nodes and SSC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</si>
</sst>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0" borderId="7" xfId="0" applyFont="1" applyFill="1" applyBorder="1"/>
    <xf numFmtId="0" fontId="2" fillId="0" borderId="7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/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2" fillId="0" borderId="9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14" xfId="0" applyFont="1" applyFill="1" applyBorder="1"/>
    <xf numFmtId="0" fontId="2" fillId="0" borderId="15" xfId="0" applyFont="1" applyFill="1" applyBorder="1"/>
    <xf numFmtId="0" fontId="2" fillId="0" borderId="0" xfId="0" applyFont="1" applyAlignment="1"/>
    <xf numFmtId="0" fontId="2" fillId="0" borderId="7" xfId="0" applyFont="1" applyFill="1" applyBorder="1" applyAlignment="1"/>
    <xf numFmtId="0" fontId="2" fillId="0" borderId="11" xfId="0" applyFont="1" applyFill="1" applyBorder="1" applyAlignment="1"/>
    <xf numFmtId="0" fontId="2" fillId="0" borderId="13" xfId="0" applyFont="1" applyFill="1" applyBorder="1" applyAlignment="1"/>
    <xf numFmtId="0" fontId="0" fillId="0" borderId="0" xfId="0" applyAlignment="1"/>
    <xf numFmtId="0" fontId="0" fillId="0" borderId="11" xfId="0" applyBorder="1" applyAlignment="1"/>
    <xf numFmtId="0" fontId="2" fillId="5" borderId="7" xfId="0" applyFont="1" applyFill="1" applyBorder="1" applyAlignment="1"/>
    <xf numFmtId="0" fontId="2" fillId="0" borderId="0" xfId="0" applyFont="1" applyAlignment="1">
      <alignment horizontal="left"/>
    </xf>
    <xf numFmtId="0" fontId="3" fillId="4" borderId="8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2" fillId="6" borderId="7" xfId="0" applyFont="1" applyFill="1" applyBorder="1" applyAlignment="1"/>
    <xf numFmtId="0" fontId="2" fillId="6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left"/>
    </xf>
    <xf numFmtId="0" fontId="2" fillId="6" borderId="10" xfId="0" applyFont="1" applyFill="1" applyBorder="1" applyAlignment="1">
      <alignment horizontal="center"/>
    </xf>
    <xf numFmtId="0" fontId="0" fillId="6" borderId="0" xfId="0" applyFill="1"/>
    <xf numFmtId="0" fontId="2" fillId="6" borderId="0" xfId="0" applyFont="1" applyFill="1"/>
    <xf numFmtId="0" fontId="0" fillId="5" borderId="8" xfId="0" applyFill="1" applyBorder="1" applyAlignment="1">
      <alignment horizontal="center"/>
    </xf>
    <xf numFmtId="0" fontId="2" fillId="5" borderId="8" xfId="0" applyFont="1" applyFill="1" applyBorder="1"/>
    <xf numFmtId="0" fontId="2" fillId="5" borderId="8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tegration%20Data%20Format_Rev0_INP-01157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gration Data"/>
      <sheetName val="Sheet1"/>
    </sheetNames>
    <sheetDataSet>
      <sheetData sheetId="0" refreshError="1">
        <row r="53">
          <cell r="J53" t="str">
            <v>SERR1A</v>
          </cell>
          <cell r="M53" t="str">
            <v>WINDOWS SERVER 2016</v>
          </cell>
          <cell r="O53">
            <v>200</v>
          </cell>
          <cell r="Q53" t="str">
            <v>DELL R330XL</v>
          </cell>
          <cell r="S53" t="str">
            <v>172.16.0.21</v>
          </cell>
          <cell r="W53" t="str">
            <v>172.16.0.100</v>
          </cell>
          <cell r="AA53" t="str">
            <v xml:space="preserve">255.255.248.0 </v>
          </cell>
        </row>
        <row r="54">
          <cell r="J54" t="str">
            <v>SERR1B</v>
          </cell>
          <cell r="M54" t="str">
            <v>WINDOWS SERVER 2016</v>
          </cell>
          <cell r="O54">
            <v>200</v>
          </cell>
          <cell r="Q54" t="str">
            <v>DELL R330XL</v>
          </cell>
          <cell r="S54" t="str">
            <v>172.16.0.23</v>
          </cell>
          <cell r="W54" t="str">
            <v>172.16.0.100</v>
          </cell>
          <cell r="AA54" t="str">
            <v xml:space="preserve">255.255.248.0 </v>
          </cell>
        </row>
        <row r="55">
          <cell r="J55" t="str">
            <v>CCROS4</v>
          </cell>
          <cell r="M55" t="str">
            <v>WINDOWS 2010</v>
          </cell>
          <cell r="O55">
            <v>200</v>
          </cell>
          <cell r="Q55" t="str">
            <v>DELL R7910XL</v>
          </cell>
          <cell r="S55" t="str">
            <v>172.16.0.35</v>
          </cell>
          <cell r="AA55" t="str">
            <v xml:space="preserve">255.255.248.0 </v>
          </cell>
        </row>
        <row r="56">
          <cell r="J56" t="str">
            <v>SUP-STN</v>
          </cell>
          <cell r="M56" t="str">
            <v>WINDOWS 2010</v>
          </cell>
          <cell r="O56">
            <v>200</v>
          </cell>
          <cell r="Q56" t="str">
            <v>DELL R7910XL</v>
          </cell>
          <cell r="S56" t="str">
            <v>172.16.1.33</v>
          </cell>
          <cell r="AA56" t="str">
            <v xml:space="preserve">255.255.248.0 </v>
          </cell>
        </row>
        <row r="57">
          <cell r="J57" t="str">
            <v>CCROS2</v>
          </cell>
          <cell r="M57" t="str">
            <v>WINDOWS 2010</v>
          </cell>
          <cell r="O57">
            <v>200</v>
          </cell>
          <cell r="Q57" t="str">
            <v>DELL R7910XL</v>
          </cell>
          <cell r="S57" t="str">
            <v>172.16.1.21</v>
          </cell>
          <cell r="AA57" t="str">
            <v xml:space="preserve">255.255.252.0 </v>
          </cell>
        </row>
        <row r="58">
          <cell r="J58" t="str">
            <v>CCROS5</v>
          </cell>
          <cell r="M58" t="str">
            <v>WINDOWS 2010</v>
          </cell>
          <cell r="O58">
            <v>200</v>
          </cell>
          <cell r="Q58" t="str">
            <v>DELL R7910XL</v>
          </cell>
          <cell r="S58" t="str">
            <v>172.16.1.25</v>
          </cell>
          <cell r="AA58" t="str">
            <v xml:space="preserve">255.255.252.0 </v>
          </cell>
        </row>
        <row r="59">
          <cell r="J59" t="str">
            <v>CCROS6</v>
          </cell>
          <cell r="M59" t="str">
            <v>WINDOWS 2010</v>
          </cell>
          <cell r="O59">
            <v>200</v>
          </cell>
          <cell r="Q59" t="str">
            <v>DELL R7910XL</v>
          </cell>
          <cell r="S59" t="str">
            <v>172.16.1.27</v>
          </cell>
          <cell r="AA59" t="str">
            <v xml:space="preserve">255.255.252.0 </v>
          </cell>
        </row>
        <row r="60">
          <cell r="J60" t="str">
            <v>ES-2</v>
          </cell>
          <cell r="M60" t="str">
            <v>WINDOWS 2010</v>
          </cell>
          <cell r="O60">
            <v>200</v>
          </cell>
          <cell r="Q60" t="str">
            <v>DELL R7910XL</v>
          </cell>
          <cell r="S60" t="str">
            <v>172.16.1.31</v>
          </cell>
          <cell r="AA60" t="str">
            <v xml:space="preserve">255.255.248.0 </v>
          </cell>
        </row>
        <row r="61">
          <cell r="J61" t="str">
            <v>CS2-OS1</v>
          </cell>
          <cell r="K61" t="str">
            <v>CS2-OS1</v>
          </cell>
          <cell r="L61" t="str">
            <v>CS2-OS1</v>
          </cell>
          <cell r="M61" t="str">
            <v>WINDOWS 2010</v>
          </cell>
          <cell r="O61">
            <v>200</v>
          </cell>
          <cell r="Q61" t="str">
            <v>DELL T5810XL</v>
          </cell>
          <cell r="S61" t="str">
            <v>172.16.0.37</v>
          </cell>
          <cell r="AA61" t="str">
            <v xml:space="preserve">255.255.248.0 </v>
          </cell>
        </row>
        <row r="62">
          <cell r="J62" t="str">
            <v>CS2-OS2</v>
          </cell>
          <cell r="M62" t="str">
            <v>WINDOWS 2010</v>
          </cell>
          <cell r="O62">
            <v>200</v>
          </cell>
          <cell r="Q62" t="str">
            <v>DELL T5810XL</v>
          </cell>
          <cell r="S62" t="str">
            <v>172.16.1.35</v>
          </cell>
          <cell r="AA62" t="str">
            <v xml:space="preserve">255.255.248.0 </v>
          </cell>
        </row>
        <row r="63">
          <cell r="J63" t="str">
            <v>CS2-OS3</v>
          </cell>
          <cell r="K63" t="str">
            <v>CS2-OS3</v>
          </cell>
          <cell r="L63" t="str">
            <v>CS2-OS3</v>
          </cell>
          <cell r="M63" t="str">
            <v>WINDOWS 2010</v>
          </cell>
          <cell r="O63">
            <v>200</v>
          </cell>
          <cell r="Q63" t="str">
            <v>DELL T5810XL</v>
          </cell>
          <cell r="S63" t="str">
            <v>172.16.1.37</v>
          </cell>
          <cell r="AA63" t="str">
            <v xml:space="preserve">255.255.252.0 </v>
          </cell>
        </row>
        <row r="64">
          <cell r="J64" t="str">
            <v>CS7-OS1</v>
          </cell>
          <cell r="K64" t="str">
            <v>CS7-OS1</v>
          </cell>
          <cell r="L64" t="str">
            <v>CS7-OS1</v>
          </cell>
          <cell r="M64" t="str">
            <v>WINDOWS 2010</v>
          </cell>
          <cell r="O64">
            <v>200</v>
          </cell>
          <cell r="Q64" t="str">
            <v>DELL T5810XL</v>
          </cell>
          <cell r="S64" t="str">
            <v>172.16.0.45</v>
          </cell>
          <cell r="AA64" t="str">
            <v xml:space="preserve">255.255.248.0 </v>
          </cell>
        </row>
        <row r="65">
          <cell r="J65" t="str">
            <v>CS7-OS2</v>
          </cell>
          <cell r="K65" t="str">
            <v>CS7-OS2</v>
          </cell>
          <cell r="L65" t="str">
            <v>CS7-OS2</v>
          </cell>
          <cell r="M65" t="str">
            <v>WINDOWS 2010</v>
          </cell>
          <cell r="O65">
            <v>200</v>
          </cell>
          <cell r="Q65" t="str">
            <v>DELL T5810XL</v>
          </cell>
          <cell r="S65" t="str">
            <v>172.16.1.51</v>
          </cell>
          <cell r="AA65" t="str">
            <v xml:space="preserve">255.255.252.0 </v>
          </cell>
        </row>
        <row r="66">
          <cell r="J66" t="str">
            <v>CS7-OS3</v>
          </cell>
          <cell r="K66" t="str">
            <v>CS7-OS3</v>
          </cell>
          <cell r="L66" t="str">
            <v>CS7-OS3</v>
          </cell>
          <cell r="M66" t="str">
            <v>WINDOWS 2010</v>
          </cell>
          <cell r="O66">
            <v>200</v>
          </cell>
          <cell r="Q66" t="str">
            <v>DELL T5810XL</v>
          </cell>
          <cell r="S66" t="str">
            <v>172.16.1.53</v>
          </cell>
          <cell r="AA66" t="str">
            <v xml:space="preserve">255.255.252.0 </v>
          </cell>
        </row>
        <row r="67">
          <cell r="J67" t="str">
            <v>CS10-OS1</v>
          </cell>
          <cell r="K67" t="str">
            <v>CS10-OS1</v>
          </cell>
          <cell r="L67" t="str">
            <v>CS10-OS1</v>
          </cell>
          <cell r="M67" t="str">
            <v>WINDOWS 2010</v>
          </cell>
          <cell r="O67">
            <v>200</v>
          </cell>
          <cell r="Q67" t="str">
            <v>DELL T5810XL</v>
          </cell>
          <cell r="S67" t="str">
            <v>172.16.0.49</v>
          </cell>
          <cell r="AA67" t="str">
            <v xml:space="preserve">255.255.248.0 </v>
          </cell>
        </row>
        <row r="68">
          <cell r="J68" t="str">
            <v>CS10-OS2</v>
          </cell>
          <cell r="K68" t="str">
            <v>CS10-OS2</v>
          </cell>
          <cell r="L68" t="str">
            <v>CS10-OS2</v>
          </cell>
          <cell r="M68" t="str">
            <v>WINDOWS 2010</v>
          </cell>
          <cell r="O68">
            <v>200</v>
          </cell>
          <cell r="Q68" t="str">
            <v>DELL T5810XL</v>
          </cell>
          <cell r="S68" t="str">
            <v>172.16.1.57</v>
          </cell>
          <cell r="AA68" t="str">
            <v xml:space="preserve">255.255.252.0 </v>
          </cell>
        </row>
        <row r="69">
          <cell r="J69" t="str">
            <v>CS10-OS3</v>
          </cell>
          <cell r="K69" t="str">
            <v>CS10-OS2</v>
          </cell>
          <cell r="L69" t="str">
            <v>CS10-OS2</v>
          </cell>
          <cell r="M69" t="str">
            <v>WINDOWS 2010</v>
          </cell>
          <cell r="O69">
            <v>200</v>
          </cell>
          <cell r="Q69" t="str">
            <v>DELL T5810XL</v>
          </cell>
          <cell r="S69" t="str">
            <v>172.16.1.65</v>
          </cell>
          <cell r="AA69" t="str">
            <v xml:space="preserve">255.255.252.0 </v>
          </cell>
        </row>
        <row r="70">
          <cell r="J70" t="str">
            <v>WSERR1A</v>
          </cell>
          <cell r="O70">
            <v>200</v>
          </cell>
          <cell r="Q70" t="str">
            <v>DELL R330XL</v>
          </cell>
          <cell r="S70" t="str">
            <v>172.16.0.25</v>
          </cell>
          <cell r="W70" t="str">
            <v>172.16.0.55</v>
          </cell>
          <cell r="AA70" t="str">
            <v xml:space="preserve">255.255.248.0 </v>
          </cell>
        </row>
        <row r="71">
          <cell r="J71" t="str">
            <v>WSERR1B</v>
          </cell>
          <cell r="M71" t="str">
            <v>WINDOWS SERVER 2016</v>
          </cell>
          <cell r="O71">
            <v>200</v>
          </cell>
          <cell r="Q71" t="str">
            <v>DELL R330XL</v>
          </cell>
          <cell r="S71" t="str">
            <v>172.16.0.27</v>
          </cell>
          <cell r="W71" t="str">
            <v>172.16.0.100</v>
          </cell>
          <cell r="AA71" t="str">
            <v xml:space="preserve">255.255.248.0 </v>
          </cell>
        </row>
        <row r="72">
          <cell r="J72" t="str">
            <v>CCROS1</v>
          </cell>
          <cell r="M72" t="str">
            <v>WINDOWS 2010</v>
          </cell>
          <cell r="O72">
            <v>200</v>
          </cell>
          <cell r="Q72" t="str">
            <v>DELL R7910XL</v>
          </cell>
          <cell r="S72" t="str">
            <v>172.16.0.33</v>
          </cell>
          <cell r="AA72" t="str">
            <v xml:space="preserve">255.255.248.0 </v>
          </cell>
        </row>
        <row r="73">
          <cell r="J73" t="str">
            <v>CCROS3</v>
          </cell>
          <cell r="M73" t="str">
            <v>WINDOWS 2010</v>
          </cell>
          <cell r="O73">
            <v>200</v>
          </cell>
          <cell r="Q73" t="str">
            <v>DELL R7910XL</v>
          </cell>
          <cell r="S73" t="str">
            <v>172.16.1.23</v>
          </cell>
          <cell r="AA73" t="str">
            <v xml:space="preserve">255.255.252.0 </v>
          </cell>
        </row>
        <row r="74">
          <cell r="J74" t="str">
            <v>ES-1</v>
          </cell>
          <cell r="M74" t="str">
            <v>WINDOWS 2010</v>
          </cell>
          <cell r="O74">
            <v>200</v>
          </cell>
          <cell r="Q74" t="str">
            <v>DELL R7910XL</v>
          </cell>
          <cell r="S74" t="str">
            <v>172.16.1.29</v>
          </cell>
          <cell r="AA74" t="str">
            <v xml:space="preserve">255.255.252.0 </v>
          </cell>
        </row>
        <row r="75">
          <cell r="J75" t="str">
            <v>CS4-OS1</v>
          </cell>
          <cell r="K75" t="str">
            <v>CS4-OS1</v>
          </cell>
          <cell r="L75" t="str">
            <v>CS4-OS1</v>
          </cell>
          <cell r="M75" t="str">
            <v>WINDOWS 2010</v>
          </cell>
          <cell r="O75">
            <v>200</v>
          </cell>
          <cell r="Q75" t="str">
            <v>DELL T5810XL</v>
          </cell>
          <cell r="S75" t="str">
            <v>172.16.0.39</v>
          </cell>
          <cell r="AA75" t="str">
            <v xml:space="preserve">255.255.248.0 </v>
          </cell>
        </row>
        <row r="76">
          <cell r="J76" t="str">
            <v>CS4-OS2</v>
          </cell>
          <cell r="K76" t="str">
            <v>CS4-OS2</v>
          </cell>
          <cell r="L76" t="str">
            <v>CS4-OS2</v>
          </cell>
          <cell r="M76" t="str">
            <v>WINDOWS 2010</v>
          </cell>
          <cell r="O76">
            <v>200</v>
          </cell>
          <cell r="Q76" t="str">
            <v>DELL T5810XL</v>
          </cell>
          <cell r="S76" t="str">
            <v>172.16.1.39</v>
          </cell>
          <cell r="AA76" t="str">
            <v xml:space="preserve">255.255.252.0 </v>
          </cell>
        </row>
        <row r="77">
          <cell r="J77" t="str">
            <v>CS4-OS3</v>
          </cell>
          <cell r="K77" t="str">
            <v>CS4-OS3</v>
          </cell>
          <cell r="L77" t="str">
            <v>CS4-OS3</v>
          </cell>
          <cell r="M77" t="str">
            <v>WINDOWS 2010</v>
          </cell>
          <cell r="O77">
            <v>200</v>
          </cell>
          <cell r="Q77" t="str">
            <v>DELL T5810XL</v>
          </cell>
          <cell r="S77" t="str">
            <v>172.16.1.41</v>
          </cell>
          <cell r="AA77" t="str">
            <v xml:space="preserve">255.255.252.0 </v>
          </cell>
        </row>
        <row r="78">
          <cell r="J78" t="str">
            <v>CS5-OS1</v>
          </cell>
          <cell r="K78" t="str">
            <v>CS5-OS1</v>
          </cell>
          <cell r="L78" t="str">
            <v>CS5-OS1</v>
          </cell>
          <cell r="M78" t="str">
            <v>WINDOWS 2010</v>
          </cell>
          <cell r="O78">
            <v>200</v>
          </cell>
          <cell r="Q78" t="str">
            <v>DELL T5810XL</v>
          </cell>
          <cell r="S78" t="str">
            <v>172.16.0.41</v>
          </cell>
          <cell r="AA78" t="str">
            <v xml:space="preserve">255.255.248.0 </v>
          </cell>
        </row>
        <row r="79">
          <cell r="J79" t="str">
            <v>CS5-OS2</v>
          </cell>
          <cell r="K79" t="str">
            <v>CS5-OS2</v>
          </cell>
          <cell r="L79" t="str">
            <v>CS5-OS2</v>
          </cell>
          <cell r="M79" t="str">
            <v>WINDOWS 2010</v>
          </cell>
          <cell r="O79">
            <v>200</v>
          </cell>
          <cell r="Q79" t="str">
            <v>DELL T5810XL</v>
          </cell>
          <cell r="S79" t="str">
            <v>172.16.1.43</v>
          </cell>
          <cell r="AA79" t="str">
            <v xml:space="preserve">255.255.248.0 </v>
          </cell>
        </row>
        <row r="80">
          <cell r="J80" t="str">
            <v>CS5-OS3</v>
          </cell>
          <cell r="K80" t="str">
            <v>CS5-OS3</v>
          </cell>
          <cell r="L80" t="str">
            <v>CS5-OS3</v>
          </cell>
          <cell r="M80" t="str">
            <v>WINDOWS 2010</v>
          </cell>
          <cell r="O80">
            <v>200</v>
          </cell>
          <cell r="Q80" t="str">
            <v>DELL T5810XL</v>
          </cell>
          <cell r="S80" t="str">
            <v>172.16.1.45</v>
          </cell>
          <cell r="AA80" t="str">
            <v xml:space="preserve">255.255.252.0 </v>
          </cell>
        </row>
        <row r="81">
          <cell r="J81" t="str">
            <v>CS6OS1</v>
          </cell>
          <cell r="K81" t="str">
            <v>CS6OS1</v>
          </cell>
          <cell r="L81" t="str">
            <v>CS6OS1</v>
          </cell>
          <cell r="M81" t="str">
            <v>WINDOWS 2010</v>
          </cell>
          <cell r="O81">
            <v>200</v>
          </cell>
          <cell r="Q81" t="str">
            <v>DELL T5810XL</v>
          </cell>
          <cell r="S81" t="str">
            <v>172.16.0.43</v>
          </cell>
          <cell r="AA81" t="str">
            <v xml:space="preserve">255.255.248.0 </v>
          </cell>
        </row>
        <row r="82">
          <cell r="J82" t="str">
            <v>CS6OS2</v>
          </cell>
          <cell r="K82" t="str">
            <v>CS6OS2</v>
          </cell>
          <cell r="L82" t="str">
            <v>CS6OS2</v>
          </cell>
          <cell r="M82" t="str">
            <v>WINDOWS 2010</v>
          </cell>
          <cell r="O82">
            <v>200</v>
          </cell>
          <cell r="Q82" t="str">
            <v>DELL T5810XL</v>
          </cell>
          <cell r="S82" t="str">
            <v>172.16.1.47</v>
          </cell>
          <cell r="AA82" t="str">
            <v xml:space="preserve">255.255.252.0 </v>
          </cell>
        </row>
        <row r="83">
          <cell r="J83" t="str">
            <v>CS6OS3</v>
          </cell>
          <cell r="K83" t="str">
            <v>CS6OS3</v>
          </cell>
          <cell r="L83" t="str">
            <v>CS6OS3</v>
          </cell>
          <cell r="M83" t="str">
            <v>WINDOWS 2010</v>
          </cell>
          <cell r="O83">
            <v>200</v>
          </cell>
          <cell r="Q83" t="str">
            <v>DELL T5810XL</v>
          </cell>
          <cell r="S83" t="str">
            <v>172.16.1.49</v>
          </cell>
          <cell r="AA83" t="str">
            <v xml:space="preserve">255.255.252.0 </v>
          </cell>
        </row>
        <row r="84">
          <cell r="J84" t="str">
            <v>CS6OS4</v>
          </cell>
          <cell r="K84" t="str">
            <v>CS6OS4</v>
          </cell>
          <cell r="L84" t="str">
            <v>CS6OS4</v>
          </cell>
          <cell r="M84" t="str">
            <v>WINDOWS 2010</v>
          </cell>
          <cell r="O84">
            <v>200</v>
          </cell>
          <cell r="Q84" t="str">
            <v>DELL T5810XL</v>
          </cell>
          <cell r="S84" t="str">
            <v>172.16.1.61</v>
          </cell>
          <cell r="AA84" t="str">
            <v xml:space="preserve">255.255.252.0 </v>
          </cell>
        </row>
        <row r="85">
          <cell r="J85" t="str">
            <v>CS6OS5</v>
          </cell>
          <cell r="K85" t="str">
            <v>CS6OS4</v>
          </cell>
          <cell r="L85" t="str">
            <v>CS6OS4</v>
          </cell>
          <cell r="M85" t="str">
            <v>WINDOWS 2010</v>
          </cell>
          <cell r="O85">
            <v>200</v>
          </cell>
          <cell r="Q85" t="str">
            <v>DELL T5810XL</v>
          </cell>
          <cell r="S85" t="str">
            <v>172.16.1.67</v>
          </cell>
          <cell r="AA85" t="str">
            <v xml:space="preserve">255.255.252.0 </v>
          </cell>
        </row>
        <row r="86">
          <cell r="J86" t="str">
            <v>CS9-OS1</v>
          </cell>
          <cell r="K86" t="str">
            <v>CS9-OS1</v>
          </cell>
          <cell r="L86" t="str">
            <v>CS9-OS1</v>
          </cell>
          <cell r="M86" t="str">
            <v>WINDOWS 2010</v>
          </cell>
          <cell r="O86">
            <v>200</v>
          </cell>
          <cell r="Q86" t="str">
            <v>DELL T5810XL</v>
          </cell>
          <cell r="S86" t="str">
            <v>172.16.0.47</v>
          </cell>
          <cell r="AA86" t="str">
            <v xml:space="preserve">255.255.248.0 </v>
          </cell>
        </row>
        <row r="87">
          <cell r="J87" t="str">
            <v>CS9-OS2</v>
          </cell>
          <cell r="K87" t="str">
            <v>CS9-OS2</v>
          </cell>
          <cell r="L87" t="str">
            <v>CS9-OS2</v>
          </cell>
          <cell r="M87" t="str">
            <v>WINDOWS 2010</v>
          </cell>
          <cell r="O87">
            <v>200</v>
          </cell>
          <cell r="Q87" t="str">
            <v>DELL T5810XL</v>
          </cell>
          <cell r="S87" t="str">
            <v>172.16.1.55</v>
          </cell>
          <cell r="AA87" t="str">
            <v xml:space="preserve">255.255.252.0 </v>
          </cell>
        </row>
        <row r="88">
          <cell r="J88" t="str">
            <v>CS11OS1</v>
          </cell>
          <cell r="K88" t="str">
            <v>CS11OS1</v>
          </cell>
          <cell r="L88" t="str">
            <v>CS11OS1</v>
          </cell>
          <cell r="M88" t="str">
            <v>WINDOWS 2010</v>
          </cell>
          <cell r="O88">
            <v>200</v>
          </cell>
          <cell r="Q88" t="str">
            <v>DELL T5810XL</v>
          </cell>
          <cell r="S88" t="str">
            <v>172.16.0.51</v>
          </cell>
          <cell r="AA88" t="str">
            <v xml:space="preserve">255.255.248.0 </v>
          </cell>
        </row>
        <row r="89">
          <cell r="J89" t="str">
            <v>CS11OS2</v>
          </cell>
          <cell r="K89" t="str">
            <v>CS11OS2</v>
          </cell>
          <cell r="L89" t="str">
            <v>CS11OS2</v>
          </cell>
          <cell r="M89" t="str">
            <v>WINDOWS 2010</v>
          </cell>
          <cell r="O89">
            <v>200</v>
          </cell>
          <cell r="Q89" t="str">
            <v>DELL T5810XL</v>
          </cell>
          <cell r="S89" t="str">
            <v>172.16.1.59</v>
          </cell>
          <cell r="AA89" t="str">
            <v xml:space="preserve">255.255.252.0 </v>
          </cell>
        </row>
        <row r="90">
          <cell r="J90" t="str">
            <v>CS11-OS3</v>
          </cell>
          <cell r="K90" t="str">
            <v>CS11-OS3</v>
          </cell>
          <cell r="L90" t="str">
            <v>CS11-OS3</v>
          </cell>
          <cell r="M90" t="str">
            <v>WINDOWS 2010</v>
          </cell>
          <cell r="O90">
            <v>200</v>
          </cell>
          <cell r="Q90" t="str">
            <v>DELL T5810XL</v>
          </cell>
          <cell r="S90" t="str">
            <v>172.16.1.63</v>
          </cell>
          <cell r="AA90" t="str">
            <v xml:space="preserve">255.255.248.0 </v>
          </cell>
        </row>
        <row r="91">
          <cell r="J91" t="str">
            <v>ESERVER</v>
          </cell>
          <cell r="M91" t="str">
            <v>WINDOWS SERVER 2016</v>
          </cell>
          <cell r="O91">
            <v>200</v>
          </cell>
          <cell r="Q91" t="str">
            <v>DELL R330-SN</v>
          </cell>
          <cell r="S91" t="str">
            <v>172.16.0.31</v>
          </cell>
          <cell r="W91" t="str">
            <v>172.16.0.100</v>
          </cell>
          <cell r="AA91" t="str">
            <v xml:space="preserve">255.255.248.0 </v>
          </cell>
        </row>
        <row r="92">
          <cell r="J92" t="str">
            <v>EBR-SERVER</v>
          </cell>
          <cell r="M92" t="str">
            <v>WINDOWS SERVER 2016</v>
          </cell>
          <cell r="O92">
            <v>200</v>
          </cell>
          <cell r="Q92" t="str">
            <v>DELL PER430</v>
          </cell>
          <cell r="S92" t="str">
            <v>172.16.0.53</v>
          </cell>
          <cell r="AA92" t="str">
            <v xml:space="preserve">255.255.248.0 </v>
          </cell>
        </row>
        <row r="93">
          <cell r="J93" t="str">
            <v>NMSMGT</v>
          </cell>
          <cell r="M93" t="str">
            <v>WINDOWS SERVER 2016</v>
          </cell>
          <cell r="O93">
            <v>200</v>
          </cell>
          <cell r="Q93" t="str">
            <v>DELL PER430</v>
          </cell>
          <cell r="S93" t="str">
            <v>172.16.0.81</v>
          </cell>
          <cell r="AA93" t="str">
            <v xml:space="preserve">255.255.248.0 </v>
          </cell>
        </row>
        <row r="94">
          <cell r="J94" t="str">
            <v>VWMNGMT</v>
          </cell>
          <cell r="M94" t="str">
            <v>WINDOWS 2010</v>
          </cell>
          <cell r="O94">
            <v>200</v>
          </cell>
          <cell r="Q94" t="str">
            <v>DELL R7910XL</v>
          </cell>
          <cell r="S94" t="str">
            <v>172.16.0.83</v>
          </cell>
          <cell r="AA94" t="str">
            <v xml:space="preserve">255.255.248.0 </v>
          </cell>
        </row>
        <row r="95">
          <cell r="J95" t="str">
            <v>CCR-TEST01</v>
          </cell>
          <cell r="M95" t="str">
            <v>WINDOWS 2010</v>
          </cell>
          <cell r="O95">
            <v>200</v>
          </cell>
          <cell r="Q95" t="str">
            <v>DELL T5810XL</v>
          </cell>
          <cell r="S95" t="str">
            <v>172.16.0.198</v>
          </cell>
          <cell r="AA95" t="str">
            <v xml:space="preserve">255.255.248.0 </v>
          </cell>
        </row>
        <row r="96">
          <cell r="J96" t="str">
            <v>CCR-TEST02</v>
          </cell>
          <cell r="M96" t="str">
            <v>WINDOWS 2010</v>
          </cell>
          <cell r="O96">
            <v>200</v>
          </cell>
          <cell r="Q96" t="str">
            <v>DELL T5810XL</v>
          </cell>
          <cell r="S96" t="str">
            <v>172.16.0.71</v>
          </cell>
          <cell r="AA96" t="str">
            <v xml:space="preserve">255.255.248.0 </v>
          </cell>
        </row>
        <row r="97">
          <cell r="J97" t="str">
            <v>CCR_ES1(Y)</v>
          </cell>
          <cell r="K97" t="str">
            <v>CCR_ES1(Y)</v>
          </cell>
          <cell r="L97" t="str">
            <v>CCR_ES1(Y)</v>
          </cell>
          <cell r="M97" t="str">
            <v>CISCO 48  24U_2960</v>
          </cell>
          <cell r="O97" t="str">
            <v>N/A</v>
          </cell>
          <cell r="Q97" t="str">
            <v>Cisco Catalyst Switch WS-C2960+48TC-L</v>
          </cell>
          <cell r="S97" t="str">
            <v>172.16.0.201</v>
          </cell>
          <cell r="AA97" t="str">
            <v>255.255.248.0</v>
          </cell>
        </row>
        <row r="98">
          <cell r="J98" t="str">
            <v>CCR_ES2(G)</v>
          </cell>
          <cell r="K98" t="str">
            <v>CCR_ES2(G)</v>
          </cell>
          <cell r="L98" t="str">
            <v>CCR_ES2(G)</v>
          </cell>
          <cell r="M98" t="str">
            <v>CISCO 48  24U_2960</v>
          </cell>
          <cell r="O98" t="str">
            <v>N/A</v>
          </cell>
          <cell r="Q98" t="str">
            <v>Cisco Catalyst Switch WS-C2960+48TC-L</v>
          </cell>
          <cell r="S98" t="str">
            <v>172.16.0.202</v>
          </cell>
          <cell r="AA98" t="str">
            <v>255.255.248.0</v>
          </cell>
        </row>
        <row r="99">
          <cell r="J99" t="str">
            <v>CS02_ES1(Y)</v>
          </cell>
          <cell r="K99" t="str">
            <v>CS02_ES1(Y)</v>
          </cell>
          <cell r="L99" t="str">
            <v>CS02_ES1(Y)</v>
          </cell>
          <cell r="M99" t="str">
            <v>24U_1010_SPLIT_2960_24</v>
          </cell>
          <cell r="O99" t="str">
            <v>N/A</v>
          </cell>
          <cell r="Q99" t="str">
            <v>Cisco Catalyst Switch WS-C2960+24TC-L</v>
          </cell>
          <cell r="S99" t="str">
            <v>172.16.2.203</v>
          </cell>
          <cell r="AA99" t="str">
            <v>255.255.248.0</v>
          </cell>
        </row>
        <row r="100">
          <cell r="J100" t="str">
            <v>CS02_ES1(G)</v>
          </cell>
          <cell r="K100" t="str">
            <v>CS02_ES1(G)</v>
          </cell>
          <cell r="L100" t="str">
            <v>CS02_ES1(G)</v>
          </cell>
          <cell r="M100" t="str">
            <v>24U_1010_SPLIT_2960_24</v>
          </cell>
          <cell r="O100" t="str">
            <v>N/A</v>
          </cell>
          <cell r="Q100" t="str">
            <v>Cisco Catalyst Switch WS-C2960+24TC-L</v>
          </cell>
          <cell r="S100" t="str">
            <v>172.16.2.204</v>
          </cell>
          <cell r="AA100" t="str">
            <v>255.255.248.0</v>
          </cell>
        </row>
        <row r="101">
          <cell r="J101" t="str">
            <v>CS04_ES1(Y)</v>
          </cell>
          <cell r="K101" t="str">
            <v>CS04_ES1(Y)</v>
          </cell>
          <cell r="L101" t="str">
            <v>CS04_ES1(Y)</v>
          </cell>
          <cell r="M101" t="str">
            <v>24U_1010_SPLIT_2960_24</v>
          </cell>
          <cell r="O101" t="str">
            <v>N/A</v>
          </cell>
          <cell r="Q101" t="str">
            <v>Cisco Catalyst Switch WS-C2960+24TC-L</v>
          </cell>
          <cell r="S101" t="str">
            <v>172.16.2.205</v>
          </cell>
          <cell r="AA101" t="str">
            <v>255.255.248.0</v>
          </cell>
        </row>
        <row r="102">
          <cell r="J102" t="str">
            <v>CS04_ES1(G)</v>
          </cell>
          <cell r="K102" t="str">
            <v>CS04_ES1(G)</v>
          </cell>
          <cell r="L102" t="str">
            <v>CS04_ES1(G)</v>
          </cell>
          <cell r="M102" t="str">
            <v>24U_1010_SPLIT_2960_24</v>
          </cell>
          <cell r="O102" t="str">
            <v>N/A</v>
          </cell>
          <cell r="Q102" t="str">
            <v>Cisco Catalyst Switch WS-C2960+24TC-L</v>
          </cell>
          <cell r="S102" t="str">
            <v>172.16.2.206</v>
          </cell>
          <cell r="AA102" t="str">
            <v>255.255.248.0</v>
          </cell>
        </row>
        <row r="103">
          <cell r="J103" t="str">
            <v>CS05_ES1(Y)</v>
          </cell>
          <cell r="K103" t="str">
            <v>CS05_ES1(Y)</v>
          </cell>
          <cell r="L103" t="str">
            <v>CS05_ES1(Y)</v>
          </cell>
          <cell r="M103" t="str">
            <v>24U_1010_SPLIT_2960_24</v>
          </cell>
          <cell r="O103" t="str">
            <v>N/A</v>
          </cell>
          <cell r="Q103" t="str">
            <v>Cisco Catalyst Switch WS-C2960+24TC-L</v>
          </cell>
          <cell r="S103" t="str">
            <v>172.16.2.207</v>
          </cell>
          <cell r="AA103" t="str">
            <v>255.255.248.0</v>
          </cell>
        </row>
        <row r="104">
          <cell r="J104" t="str">
            <v>CS05_ES1(G)</v>
          </cell>
          <cell r="K104" t="str">
            <v>CS05_ES1(G)</v>
          </cell>
          <cell r="L104" t="str">
            <v>CS05_ES1(G)</v>
          </cell>
          <cell r="M104" t="str">
            <v>24U_1010_SPLIT_2960_24</v>
          </cell>
          <cell r="O104" t="str">
            <v>N/A</v>
          </cell>
          <cell r="Q104" t="str">
            <v>Cisco Catalyst Switch WS-C2960+24TC-L</v>
          </cell>
          <cell r="S104" t="str">
            <v>172.16.2.208</v>
          </cell>
          <cell r="AA104" t="str">
            <v>255.255.248.0</v>
          </cell>
        </row>
        <row r="105">
          <cell r="J105" t="str">
            <v>CS06_ES1(Y)</v>
          </cell>
          <cell r="K105" t="str">
            <v>CS06_ES1(Y)</v>
          </cell>
          <cell r="L105" t="str">
            <v>CS06_ES1(Y)</v>
          </cell>
          <cell r="M105" t="str">
            <v>24U_1010_SPLIT_2960_24</v>
          </cell>
          <cell r="O105" t="str">
            <v>N/A</v>
          </cell>
          <cell r="Q105" t="str">
            <v>Cisco Catalyst Switch WS-C2960+24TC-L</v>
          </cell>
          <cell r="S105" t="str">
            <v>172.16.0.209</v>
          </cell>
          <cell r="AA105" t="str">
            <v>255.255.248.0</v>
          </cell>
        </row>
        <row r="106">
          <cell r="J106" t="str">
            <v>CS06_ES1(G)</v>
          </cell>
          <cell r="K106" t="str">
            <v>CS06_ES1(G)</v>
          </cell>
          <cell r="L106" t="str">
            <v>CS06_ES1(G)</v>
          </cell>
          <cell r="M106" t="str">
            <v>24U_1010_SPLIT_2960_24</v>
          </cell>
          <cell r="O106" t="str">
            <v>N/A</v>
          </cell>
          <cell r="Q106" t="str">
            <v>Cisco Catalyst Switch WS-C2960+24TC-L</v>
          </cell>
          <cell r="S106" t="str">
            <v>172.16.0.210</v>
          </cell>
          <cell r="AA106" t="str">
            <v>255.255.248.0</v>
          </cell>
        </row>
        <row r="107">
          <cell r="J107" t="str">
            <v>CS07_ES1(Y)</v>
          </cell>
          <cell r="K107" t="str">
            <v>CS07_ES1(Y)</v>
          </cell>
          <cell r="L107" t="str">
            <v>CS07_ES1(Y)</v>
          </cell>
          <cell r="M107" t="str">
            <v>24U_1010_SPLIT_2960_24</v>
          </cell>
          <cell r="O107" t="str">
            <v>N/A</v>
          </cell>
          <cell r="Q107" t="str">
            <v>Cisco Catalyst Switch WS-C2960+24TC-L</v>
          </cell>
          <cell r="S107" t="str">
            <v>172.16.2.211</v>
          </cell>
          <cell r="AA107" t="str">
            <v>255.255.248.0</v>
          </cell>
        </row>
        <row r="108">
          <cell r="J108" t="str">
            <v>CS07_ES1(G)</v>
          </cell>
          <cell r="K108" t="str">
            <v>CS07_ES1(G)</v>
          </cell>
          <cell r="L108" t="str">
            <v>CS07_ES1(G)</v>
          </cell>
          <cell r="M108" t="str">
            <v>24U_1010_SPLIT_2960_24</v>
          </cell>
          <cell r="O108" t="str">
            <v>N/A</v>
          </cell>
          <cell r="Q108" t="str">
            <v>Cisco Catalyst Switch WS-C2960+24TC-L</v>
          </cell>
          <cell r="S108" t="str">
            <v>172.16.2.212</v>
          </cell>
          <cell r="AA108" t="str">
            <v>255.255.248.0</v>
          </cell>
        </row>
        <row r="109">
          <cell r="J109" t="str">
            <v>CS09_ES1(Y)</v>
          </cell>
          <cell r="K109" t="str">
            <v>CS09_ES1(Y)</v>
          </cell>
          <cell r="L109" t="str">
            <v>CS09_ES1(Y)</v>
          </cell>
          <cell r="M109" t="str">
            <v>24U_1010_SPLIT_2960_24</v>
          </cell>
          <cell r="O109" t="str">
            <v>N/A</v>
          </cell>
          <cell r="Q109" t="str">
            <v>Cisco Catalyst Switch WS-C2960+24TC-L</v>
          </cell>
          <cell r="S109" t="str">
            <v>172.16.2.213</v>
          </cell>
          <cell r="AA109" t="str">
            <v>255.255.248.0</v>
          </cell>
        </row>
        <row r="110">
          <cell r="J110" t="str">
            <v>CS09_ES1(G)</v>
          </cell>
          <cell r="K110" t="str">
            <v>CS09_ES1(G)</v>
          </cell>
          <cell r="L110" t="str">
            <v>CS09_ES1(G)</v>
          </cell>
          <cell r="M110" t="str">
            <v>24U_1010_SPLIT_2960_24</v>
          </cell>
          <cell r="O110" t="str">
            <v>N/A</v>
          </cell>
          <cell r="Q110" t="str">
            <v>Cisco Catalyst Switch WS-C2960+24TC-L</v>
          </cell>
          <cell r="S110" t="str">
            <v>172.16.2.214</v>
          </cell>
          <cell r="AA110" t="str">
            <v>255.255.248.0</v>
          </cell>
        </row>
        <row r="111">
          <cell r="J111" t="str">
            <v>CS10_ES1(Y)</v>
          </cell>
          <cell r="K111" t="str">
            <v>CS10_ES1(Y)</v>
          </cell>
          <cell r="L111" t="str">
            <v>CS10_ES1(Y)</v>
          </cell>
          <cell r="M111" t="str">
            <v>24U_1010_SPLIT_2960_24</v>
          </cell>
          <cell r="O111" t="str">
            <v>N/A</v>
          </cell>
          <cell r="Q111" t="str">
            <v>Cisco Catalyst Switch WS-C2960+24TC-L</v>
          </cell>
          <cell r="S111" t="str">
            <v>172.16.2.215</v>
          </cell>
          <cell r="AA111" t="str">
            <v>255.255.248.0</v>
          </cell>
        </row>
        <row r="112">
          <cell r="J112" t="str">
            <v>CS10_ES1(G)</v>
          </cell>
          <cell r="K112" t="str">
            <v>CS10_ES1(G)</v>
          </cell>
          <cell r="L112" t="str">
            <v>CS10_ES1(G)</v>
          </cell>
          <cell r="M112" t="str">
            <v>24U_1010_SPLIT_2960_24</v>
          </cell>
          <cell r="O112" t="str">
            <v>N/A</v>
          </cell>
          <cell r="Q112" t="str">
            <v>Cisco Catalyst Switch WS-C2960+24TC-L</v>
          </cell>
          <cell r="S112" t="str">
            <v>172.16.2.216</v>
          </cell>
          <cell r="AA112" t="str">
            <v>255.255.248.0</v>
          </cell>
        </row>
        <row r="113">
          <cell r="J113" t="str">
            <v>CS11_ES1(Y)</v>
          </cell>
          <cell r="K113" t="str">
            <v>CS11_ES1(Y)</v>
          </cell>
          <cell r="L113" t="str">
            <v>CS11_ES1(Y)</v>
          </cell>
          <cell r="M113" t="str">
            <v>24U_1010_SPLIT_2960_24</v>
          </cell>
          <cell r="O113" t="str">
            <v>N/A</v>
          </cell>
          <cell r="Q113" t="str">
            <v>Cisco Catalyst Switch WS-C2960+24TC-L</v>
          </cell>
          <cell r="S113" t="str">
            <v>172.16.0.217</v>
          </cell>
          <cell r="AA113" t="str">
            <v>255.255.248.0</v>
          </cell>
        </row>
        <row r="114">
          <cell r="J114" t="str">
            <v>CS11_ES1(G)</v>
          </cell>
          <cell r="K114" t="str">
            <v>CS11_ES1(G)</v>
          </cell>
          <cell r="L114" t="str">
            <v>CS11_ES1(G)</v>
          </cell>
          <cell r="M114" t="str">
            <v>24U_1010_SPLIT_2960_24</v>
          </cell>
          <cell r="O114" t="str">
            <v>N/A</v>
          </cell>
          <cell r="Q114" t="str">
            <v>Cisco Catalyst Switch WS-C2960+24TC-L</v>
          </cell>
          <cell r="S114" t="str">
            <v>172.16.0.218</v>
          </cell>
          <cell r="AA114" t="str">
            <v>255.255.248.0</v>
          </cell>
        </row>
        <row r="115">
          <cell r="J115" t="str">
            <v>TEST-SW</v>
          </cell>
          <cell r="K115" t="str">
            <v>CS11_ES1(G)</v>
          </cell>
          <cell r="L115" t="str">
            <v>CS11_ES1(G)</v>
          </cell>
          <cell r="M115" t="str">
            <v>24U_1010_SPLIT_2960_24</v>
          </cell>
          <cell r="O115" t="str">
            <v>N/A</v>
          </cell>
          <cell r="Q115" t="str">
            <v>Cisco Catalyst Switch WS-C2960+24TC-L</v>
          </cell>
          <cell r="S115" t="str">
            <v>172.16.0.219</v>
          </cell>
          <cell r="AA115" t="str">
            <v>255.255.248.0</v>
          </cell>
        </row>
        <row r="116">
          <cell r="J116" t="str">
            <v>VMMGTSW</v>
          </cell>
          <cell r="K116" t="str">
            <v>CS11_ES1(G)</v>
          </cell>
          <cell r="L116" t="str">
            <v>CS11_ES1(G)</v>
          </cell>
          <cell r="M116" t="str">
            <v>AUTO NEGOTIATE - 100MPS</v>
          </cell>
          <cell r="O116" t="str">
            <v>N/A</v>
          </cell>
          <cell r="Q116" t="str">
            <v>SG95D-08 8-Port Gigabit Desktop Switch</v>
          </cell>
          <cell r="S116" t="str">
            <v>172.16.0.220</v>
          </cell>
          <cell r="AA116" t="str">
            <v>255.255.248.0</v>
          </cell>
        </row>
        <row r="117">
          <cell r="J117" t="str">
            <v>FTEB_CS04_C1_P</v>
          </cell>
          <cell r="M117" t="str">
            <v>C200 R500.2 F/W</v>
          </cell>
          <cell r="O117" t="str">
            <v>N/A</v>
          </cell>
          <cell r="Q117" t="str">
            <v>EXCH PCM C200E Assembly</v>
          </cell>
          <cell r="S117" t="str">
            <v>172.16.4.67</v>
          </cell>
          <cell r="AA117" t="str">
            <v>255.255.248.0</v>
          </cell>
          <cell r="AI117">
            <v>67</v>
          </cell>
          <cell r="AL117" t="str">
            <v>N/A</v>
          </cell>
          <cell r="AN117" t="str">
            <v>CS04-WHITE</v>
          </cell>
        </row>
        <row r="118">
          <cell r="J118" t="str">
            <v>FTEB_CS04_C1_S</v>
          </cell>
          <cell r="K118" t="str">
            <v>FTEB_CS04_C1_S</v>
          </cell>
          <cell r="L118" t="str">
            <v>FTEB_CS04_C1_S</v>
          </cell>
          <cell r="M118" t="str">
            <v>C200 R500.2 F/W</v>
          </cell>
          <cell r="O118" t="str">
            <v>N/A</v>
          </cell>
          <cell r="Q118" t="str">
            <v>EXCH PCM C200E Assembly</v>
          </cell>
          <cell r="S118" t="str">
            <v>172.16.4.68</v>
          </cell>
          <cell r="AA118" t="str">
            <v>255.255.248.0</v>
          </cell>
          <cell r="AI118">
            <v>68</v>
          </cell>
          <cell r="AL118" t="str">
            <v>N/A</v>
          </cell>
          <cell r="AN118" t="str">
            <v>CS04-WHITE</v>
          </cell>
        </row>
        <row r="119">
          <cell r="J119" t="str">
            <v>FTEB_CS04_C2_P</v>
          </cell>
          <cell r="K119" t="str">
            <v>FTEB_CS04_C2_P</v>
          </cell>
          <cell r="L119" t="str">
            <v>FTEB_CS04_C2_P</v>
          </cell>
          <cell r="M119" t="str">
            <v>C200 R500.2 F/W</v>
          </cell>
          <cell r="O119" t="str">
            <v>N/A</v>
          </cell>
          <cell r="Q119" t="str">
            <v>EXCH PCM C200E Assembly</v>
          </cell>
          <cell r="S119" t="str">
            <v>172.16.4.69</v>
          </cell>
          <cell r="AA119" t="str">
            <v>255.255.248.0</v>
          </cell>
          <cell r="AI119">
            <v>69</v>
          </cell>
          <cell r="AL119" t="str">
            <v>N/A</v>
          </cell>
          <cell r="AN119" t="str">
            <v>CS04-WHITE</v>
          </cell>
        </row>
        <row r="120">
          <cell r="J120" t="str">
            <v>FTEB_CS04_C2_S</v>
          </cell>
          <cell r="K120" t="str">
            <v>FTEB_CS04_C2_S</v>
          </cell>
          <cell r="L120" t="str">
            <v>FTEB_CS04_C2_S</v>
          </cell>
          <cell r="M120" t="str">
            <v>C200 R500.2 F/W</v>
          </cell>
          <cell r="O120" t="str">
            <v>N/A</v>
          </cell>
          <cell r="Q120" t="str">
            <v>EXCH PCM C200E Assembly</v>
          </cell>
          <cell r="S120" t="str">
            <v>172.16.4.70</v>
          </cell>
          <cell r="AA120" t="str">
            <v>255.255.248.0</v>
          </cell>
          <cell r="AI120">
            <v>70</v>
          </cell>
          <cell r="AL120" t="str">
            <v>N/A</v>
          </cell>
          <cell r="AN120" t="str">
            <v>CS04-WHITE</v>
          </cell>
        </row>
        <row r="121">
          <cell r="J121" t="str">
            <v>FTEB_CS04_C3_P</v>
          </cell>
          <cell r="K121" t="str">
            <v>FTEB_CS04_C3_P</v>
          </cell>
          <cell r="L121" t="str">
            <v>FTEB_CS04_C3_P</v>
          </cell>
          <cell r="M121" t="str">
            <v>C200 R500.2 F/W</v>
          </cell>
          <cell r="O121" t="str">
            <v>N/A</v>
          </cell>
          <cell r="Q121" t="str">
            <v>EXCH PCM C200E Assembly</v>
          </cell>
          <cell r="S121" t="str">
            <v>172.16.4.71</v>
          </cell>
          <cell r="AA121" t="str">
            <v>255.255.248.0</v>
          </cell>
          <cell r="AI121">
            <v>71</v>
          </cell>
          <cell r="AL121" t="str">
            <v>N/A</v>
          </cell>
          <cell r="AN121" t="str">
            <v>CS04-WHITE</v>
          </cell>
        </row>
        <row r="122">
          <cell r="J122" t="str">
            <v>FTEB_CS04_C3_S</v>
          </cell>
          <cell r="K122" t="str">
            <v>FTEB_CS04_C3_S</v>
          </cell>
          <cell r="L122" t="str">
            <v>FTEB_CS04_C3_S</v>
          </cell>
          <cell r="M122" t="str">
            <v>C200 R500.2 F/W</v>
          </cell>
          <cell r="O122" t="str">
            <v>N/A</v>
          </cell>
          <cell r="Q122" t="str">
            <v>EXCH PCM C200E Assembly</v>
          </cell>
          <cell r="S122" t="str">
            <v>172.16.4.72</v>
          </cell>
          <cell r="AA122" t="str">
            <v>255.255.248.0</v>
          </cell>
          <cell r="AI122">
            <v>72</v>
          </cell>
          <cell r="AL122" t="str">
            <v>N/A</v>
          </cell>
          <cell r="AN122" t="str">
            <v>CS04-WHITE</v>
          </cell>
        </row>
        <row r="123">
          <cell r="J123" t="str">
            <v>FTEB_CS05_C1_P</v>
          </cell>
          <cell r="K123" t="str">
            <v>FTEB_CS05_C1_P</v>
          </cell>
          <cell r="L123" t="str">
            <v>FTEB_CS05_C1_P</v>
          </cell>
          <cell r="M123" t="str">
            <v>C200 R500.2 F/W</v>
          </cell>
          <cell r="O123" t="str">
            <v>N/A</v>
          </cell>
          <cell r="Q123" t="str">
            <v>EXCH PCM C200E Assembly</v>
          </cell>
          <cell r="S123" t="str">
            <v>172.16.4.73</v>
          </cell>
          <cell r="AA123" t="str">
            <v>255.255.248.0</v>
          </cell>
          <cell r="AI123">
            <v>73</v>
          </cell>
          <cell r="AL123" t="str">
            <v>N/A</v>
          </cell>
          <cell r="AN123" t="str">
            <v>CS05-WHITE</v>
          </cell>
        </row>
        <row r="124">
          <cell r="J124" t="str">
            <v>FTEB_CS05_C1_S</v>
          </cell>
          <cell r="K124" t="str">
            <v>FTEB_CS05_C1_S</v>
          </cell>
          <cell r="L124" t="str">
            <v>FTEB_CS05_C1_S</v>
          </cell>
          <cell r="M124" t="str">
            <v>C200 R500.2 F/W</v>
          </cell>
          <cell r="O124" t="str">
            <v>N/A</v>
          </cell>
          <cell r="Q124" t="str">
            <v>EXCH PCM C200E Assembly</v>
          </cell>
          <cell r="S124" t="str">
            <v>172.16.4.74</v>
          </cell>
          <cell r="AA124" t="str">
            <v>255.255.248.0</v>
          </cell>
          <cell r="AI124">
            <v>74</v>
          </cell>
          <cell r="AL124" t="str">
            <v>N/A</v>
          </cell>
          <cell r="AN124" t="str">
            <v>CS05-WHITE</v>
          </cell>
        </row>
        <row r="125">
          <cell r="J125" t="str">
            <v>FTEB_CS05_C2_P</v>
          </cell>
          <cell r="K125" t="str">
            <v>FTEB_CS05_C2_P</v>
          </cell>
          <cell r="L125" t="str">
            <v>FTEB_CS05_C2_P</v>
          </cell>
          <cell r="M125" t="str">
            <v>C200 R500.2 F/W</v>
          </cell>
          <cell r="O125" t="str">
            <v>N/A</v>
          </cell>
          <cell r="Q125" t="str">
            <v>EXCH PCM C200E Assembly</v>
          </cell>
          <cell r="S125" t="str">
            <v>172.16.4.75</v>
          </cell>
          <cell r="AA125" t="str">
            <v>255.255.248.0</v>
          </cell>
          <cell r="AI125">
            <v>75</v>
          </cell>
          <cell r="AL125" t="str">
            <v>N/A</v>
          </cell>
          <cell r="AN125" t="str">
            <v>CS05-WHITE</v>
          </cell>
        </row>
        <row r="126">
          <cell r="J126" t="str">
            <v>FTEB_CS05_C2_S</v>
          </cell>
          <cell r="K126" t="str">
            <v>FTEB_CS05_C2_S</v>
          </cell>
          <cell r="L126" t="str">
            <v>FTEB_CS05_C2_S</v>
          </cell>
          <cell r="M126" t="str">
            <v>C200 R500.2 F/W</v>
          </cell>
          <cell r="O126" t="str">
            <v>N/A</v>
          </cell>
          <cell r="Q126" t="str">
            <v>EXCH PCM C200E Assembly</v>
          </cell>
          <cell r="S126" t="str">
            <v>172.16.4.76</v>
          </cell>
          <cell r="AA126" t="str">
            <v>255.255.248.0</v>
          </cell>
          <cell r="AI126">
            <v>76</v>
          </cell>
          <cell r="AL126" t="str">
            <v>N/A</v>
          </cell>
          <cell r="AN126" t="str">
            <v>CS05-WHITE</v>
          </cell>
        </row>
        <row r="127">
          <cell r="J127" t="str">
            <v>FTEB_CS05_C3_P</v>
          </cell>
          <cell r="K127" t="str">
            <v>FTEB_CS05_C3_P</v>
          </cell>
          <cell r="L127" t="str">
            <v>FTEB_CS05_C3_P</v>
          </cell>
          <cell r="M127" t="str">
            <v>C200 R500.2 F/W</v>
          </cell>
          <cell r="O127" t="str">
            <v>N/A</v>
          </cell>
          <cell r="Q127" t="str">
            <v>EXCH PCM C200E Assembly</v>
          </cell>
          <cell r="S127" t="str">
            <v>172.16.4.77</v>
          </cell>
          <cell r="AA127" t="str">
            <v>255.255.248.0</v>
          </cell>
          <cell r="AI127">
            <v>77</v>
          </cell>
          <cell r="AL127" t="str">
            <v>N/A</v>
          </cell>
          <cell r="AN127" t="str">
            <v>CS05-WHITE</v>
          </cell>
        </row>
        <row r="128">
          <cell r="J128" t="str">
            <v>FTEB_CS05_C3_S</v>
          </cell>
          <cell r="K128" t="str">
            <v>FTEB_CS05_C3_S</v>
          </cell>
          <cell r="L128" t="str">
            <v>FTEB_CS05_C3_S</v>
          </cell>
          <cell r="M128" t="str">
            <v>C200 R500.2 F/W</v>
          </cell>
          <cell r="O128" t="str">
            <v>N/A</v>
          </cell>
          <cell r="Q128" t="str">
            <v>EXCH PCM C200E Assembly</v>
          </cell>
          <cell r="S128" t="str">
            <v>172.16.4.78</v>
          </cell>
          <cell r="AA128" t="str">
            <v>255.255.248.0</v>
          </cell>
          <cell r="AI128">
            <v>78</v>
          </cell>
          <cell r="AL128" t="str">
            <v>N/A</v>
          </cell>
          <cell r="AN128" t="str">
            <v>CS05-WHITE</v>
          </cell>
        </row>
        <row r="129">
          <cell r="J129" t="str">
            <v>FTEB_CS06_C1_P</v>
          </cell>
          <cell r="K129" t="str">
            <v>FTEB_CS06_C1_P</v>
          </cell>
          <cell r="L129" t="str">
            <v>FTEB_CS06_C1_P</v>
          </cell>
          <cell r="M129" t="str">
            <v>C200 R500.2 F/W</v>
          </cell>
          <cell r="O129" t="str">
            <v>N/A</v>
          </cell>
          <cell r="Q129" t="str">
            <v>EXCH PCM C200E Assembly</v>
          </cell>
          <cell r="S129" t="str">
            <v>172.16.4.79</v>
          </cell>
          <cell r="AA129" t="str">
            <v>255.255.248.0</v>
          </cell>
          <cell r="AI129">
            <v>79</v>
          </cell>
          <cell r="AL129" t="str">
            <v>N/A</v>
          </cell>
          <cell r="AN129" t="str">
            <v>CS06-WHITE</v>
          </cell>
        </row>
        <row r="130">
          <cell r="J130" t="str">
            <v>FTEB_CS06_C1_S</v>
          </cell>
          <cell r="K130" t="str">
            <v>FTEB_CS06_C1_S</v>
          </cell>
          <cell r="L130" t="str">
            <v>FTEB_CS06_C1_S</v>
          </cell>
          <cell r="M130" t="str">
            <v>C200 R500.2 F/W</v>
          </cell>
          <cell r="O130" t="str">
            <v>N/A</v>
          </cell>
          <cell r="Q130" t="str">
            <v>EXCH PCM C200E Assembly</v>
          </cell>
          <cell r="S130" t="str">
            <v>172.16.4.80</v>
          </cell>
          <cell r="AA130" t="str">
            <v>255.255.248.0</v>
          </cell>
          <cell r="AI130">
            <v>80</v>
          </cell>
          <cell r="AL130" t="str">
            <v>N/A</v>
          </cell>
          <cell r="AN130" t="str">
            <v>CS06-WHITE</v>
          </cell>
        </row>
        <row r="131">
          <cell r="J131" t="str">
            <v>FTEB_CS06_C2_P</v>
          </cell>
          <cell r="K131" t="str">
            <v>FTEB_CS06_C2_P</v>
          </cell>
          <cell r="L131" t="str">
            <v>FTEB_CS06_C2_P</v>
          </cell>
          <cell r="M131" t="str">
            <v>C200 R500.2 F/W</v>
          </cell>
          <cell r="O131" t="str">
            <v>N/A</v>
          </cell>
          <cell r="Q131" t="str">
            <v>EXCH PCM C200E Assembly</v>
          </cell>
          <cell r="S131" t="str">
            <v>172.16.4.81</v>
          </cell>
          <cell r="AA131" t="str">
            <v>255.255.248.0</v>
          </cell>
          <cell r="AI131">
            <v>81</v>
          </cell>
          <cell r="AL131" t="str">
            <v>N/A</v>
          </cell>
          <cell r="AN131" t="str">
            <v>CS06-WHITE</v>
          </cell>
        </row>
        <row r="132">
          <cell r="J132" t="str">
            <v>FTEB_CS06_C2_S</v>
          </cell>
          <cell r="K132" t="str">
            <v>FTEB_CS06_C2_S</v>
          </cell>
          <cell r="L132" t="str">
            <v>FTEB_CS06_C2_S</v>
          </cell>
          <cell r="M132" t="str">
            <v>C200 R500.2 F/W</v>
          </cell>
          <cell r="O132" t="str">
            <v>N/A</v>
          </cell>
          <cell r="Q132" t="str">
            <v>EXCH PCM C200E Assembly</v>
          </cell>
          <cell r="S132" t="str">
            <v>172.16.4.82</v>
          </cell>
          <cell r="AA132" t="str">
            <v>255.255.248.0</v>
          </cell>
          <cell r="AI132">
            <v>82</v>
          </cell>
          <cell r="AL132" t="str">
            <v>N/A</v>
          </cell>
          <cell r="AN132" t="str">
            <v>CS06-WHITE</v>
          </cell>
        </row>
        <row r="133">
          <cell r="J133" t="str">
            <v>FTEB_CS09_C1_P</v>
          </cell>
          <cell r="K133" t="str">
            <v>FTEB_CS09_C1_P</v>
          </cell>
          <cell r="L133" t="str">
            <v>FTEB_CS09_C1_P</v>
          </cell>
          <cell r="M133" t="str">
            <v>C200 R500.2 F/W</v>
          </cell>
          <cell r="O133" t="str">
            <v>N/A</v>
          </cell>
          <cell r="Q133" t="str">
            <v>EXCH PCM C200E Assembly</v>
          </cell>
          <cell r="S133" t="str">
            <v>172.16.4.89</v>
          </cell>
          <cell r="AA133" t="str">
            <v>255.255.248.0</v>
          </cell>
          <cell r="AI133">
            <v>89</v>
          </cell>
          <cell r="AL133" t="str">
            <v>N/A</v>
          </cell>
          <cell r="AN133" t="str">
            <v>CS09-WHITE</v>
          </cell>
        </row>
        <row r="134">
          <cell r="J134" t="str">
            <v>FTEB_CS09_C1_S</v>
          </cell>
          <cell r="K134" t="str">
            <v>FTEB_CS09_C1_S</v>
          </cell>
          <cell r="L134" t="str">
            <v>FTEB_CS09_C1_S</v>
          </cell>
          <cell r="M134" t="str">
            <v>C200 R500.2 F/W</v>
          </cell>
          <cell r="O134" t="str">
            <v>N/A</v>
          </cell>
          <cell r="Q134" t="str">
            <v>EXCH PCM C200E Assembly</v>
          </cell>
          <cell r="S134" t="str">
            <v>172.16.4.90</v>
          </cell>
          <cell r="AA134" t="str">
            <v>255.255.248.0</v>
          </cell>
          <cell r="AI134">
            <v>90</v>
          </cell>
          <cell r="AL134" t="str">
            <v>N/A</v>
          </cell>
          <cell r="AN134" t="str">
            <v>CS09-WHITE</v>
          </cell>
        </row>
        <row r="135">
          <cell r="J135" t="str">
            <v>FTEB_CS11_C1_P</v>
          </cell>
          <cell r="K135" t="str">
            <v>FTEB_CS11_C1_P</v>
          </cell>
          <cell r="L135" t="str">
            <v>FTEB_CS11_C1_P</v>
          </cell>
          <cell r="M135" t="str">
            <v>C200 R500.2 F/W</v>
          </cell>
          <cell r="O135" t="str">
            <v>N/A</v>
          </cell>
          <cell r="Q135" t="str">
            <v>EXCH PCM C200E Assembly</v>
          </cell>
          <cell r="S135" t="str">
            <v>172.16.4.93</v>
          </cell>
          <cell r="AA135" t="str">
            <v>255.255.248.0</v>
          </cell>
          <cell r="AI135">
            <v>93</v>
          </cell>
          <cell r="AL135" t="str">
            <v>N/A</v>
          </cell>
          <cell r="AN135" t="str">
            <v>CS11-WHITE</v>
          </cell>
        </row>
        <row r="136">
          <cell r="J136" t="str">
            <v>FTEB_CS11_C1_S</v>
          </cell>
          <cell r="K136" t="str">
            <v>FTEB_CS11_C1_S</v>
          </cell>
          <cell r="L136" t="str">
            <v>FTEB_CS11_C1_S</v>
          </cell>
          <cell r="M136" t="str">
            <v>C200 R500.2 F/W</v>
          </cell>
          <cell r="O136" t="str">
            <v>N/A</v>
          </cell>
          <cell r="Q136" t="str">
            <v>EXCH PCM C200E Assembly</v>
          </cell>
          <cell r="S136" t="str">
            <v>172.16.4.94</v>
          </cell>
          <cell r="AA136" t="str">
            <v>255.255.248.0</v>
          </cell>
          <cell r="AI136">
            <v>94</v>
          </cell>
          <cell r="AL136" t="str">
            <v>N/A</v>
          </cell>
          <cell r="AN136" t="str">
            <v>CS11-WHITE</v>
          </cell>
        </row>
        <row r="137">
          <cell r="J137" t="str">
            <v>FTEB_CS02_C1_P</v>
          </cell>
          <cell r="K137" t="str">
            <v>FTEB_CS02_C1_P</v>
          </cell>
          <cell r="L137" t="str">
            <v>FTEB_CS02_C1_P</v>
          </cell>
          <cell r="M137" t="str">
            <v>C200 R500.2 F/W</v>
          </cell>
          <cell r="O137" t="str">
            <v>N/A</v>
          </cell>
          <cell r="Q137" t="str">
            <v>EXCH PCM C200E Assembly</v>
          </cell>
          <cell r="S137" t="str">
            <v>172.16.4.61</v>
          </cell>
          <cell r="AA137" t="str">
            <v>255.255.248.0</v>
          </cell>
          <cell r="AI137">
            <v>61</v>
          </cell>
          <cell r="AL137" t="str">
            <v>N/A</v>
          </cell>
          <cell r="AN137" t="str">
            <v>CS02-RED</v>
          </cell>
        </row>
        <row r="138">
          <cell r="J138" t="str">
            <v>FTEB_CS02_C1_S</v>
          </cell>
          <cell r="K138" t="str">
            <v>FTEB_CS02_C1_S</v>
          </cell>
          <cell r="L138" t="str">
            <v>FTEB_CS02_C1_S</v>
          </cell>
          <cell r="M138" t="str">
            <v>C200 R500.2 F/W</v>
          </cell>
          <cell r="O138" t="str">
            <v>N/A</v>
          </cell>
          <cell r="Q138" t="str">
            <v>EXCH PCM C200E Assembly</v>
          </cell>
          <cell r="S138" t="str">
            <v>172.16.4.62</v>
          </cell>
          <cell r="AA138" t="str">
            <v>255.255.248.0</v>
          </cell>
          <cell r="AI138">
            <v>62</v>
          </cell>
          <cell r="AL138" t="str">
            <v>N/A</v>
          </cell>
          <cell r="AN138" t="str">
            <v>CS02-RED</v>
          </cell>
        </row>
        <row r="139">
          <cell r="J139" t="str">
            <v>FTEB_CS02_C2_P</v>
          </cell>
          <cell r="K139" t="str">
            <v>FTEB_CS02_C2_P</v>
          </cell>
          <cell r="L139" t="str">
            <v>FTEB_CS02_C2_P</v>
          </cell>
          <cell r="M139" t="str">
            <v>C200 R500.2 F/W</v>
          </cell>
          <cell r="O139" t="str">
            <v>N/A</v>
          </cell>
          <cell r="Q139" t="str">
            <v>EXCH PCM C200E Assembly</v>
          </cell>
          <cell r="S139" t="str">
            <v>172.16.4.63</v>
          </cell>
          <cell r="AA139" t="str">
            <v>255.255.248.0</v>
          </cell>
          <cell r="AI139">
            <v>63</v>
          </cell>
          <cell r="AL139" t="str">
            <v>N/A</v>
          </cell>
          <cell r="AN139" t="str">
            <v>CS02-RED</v>
          </cell>
        </row>
        <row r="140">
          <cell r="J140" t="str">
            <v>FTEB_CS02_C2_S</v>
          </cell>
          <cell r="K140" t="str">
            <v>FTEB_CS02_C2_S</v>
          </cell>
          <cell r="L140" t="str">
            <v>FTEB_CS02_C2_S</v>
          </cell>
          <cell r="M140" t="str">
            <v>C200 R500.2 F/W</v>
          </cell>
          <cell r="O140" t="str">
            <v>N/A</v>
          </cell>
          <cell r="Q140" t="str">
            <v>EXCH PCM C200E Assembly</v>
          </cell>
          <cell r="S140" t="str">
            <v>172.16.4.64</v>
          </cell>
          <cell r="AA140" t="str">
            <v>255.255.248.0</v>
          </cell>
          <cell r="AI140">
            <v>64</v>
          </cell>
          <cell r="AL140" t="str">
            <v>N/A</v>
          </cell>
          <cell r="AN140" t="str">
            <v>CS02-RED</v>
          </cell>
        </row>
        <row r="141">
          <cell r="J141" t="str">
            <v>FTEB_CS02_C3_P</v>
          </cell>
          <cell r="K141" t="str">
            <v>FTEB_CS02_C3_P</v>
          </cell>
          <cell r="L141" t="str">
            <v>FTEB_CS02_C3_P</v>
          </cell>
          <cell r="M141" t="str">
            <v>C200 R500.2 F/W</v>
          </cell>
          <cell r="O141" t="str">
            <v>N/A</v>
          </cell>
          <cell r="Q141" t="str">
            <v>EXCH PCM C200E Assembly</v>
          </cell>
          <cell r="S141" t="str">
            <v>172.16.4.65</v>
          </cell>
          <cell r="AA141" t="str">
            <v>255.255.248.0</v>
          </cell>
          <cell r="AI141">
            <v>65</v>
          </cell>
          <cell r="AL141" t="str">
            <v>N/A</v>
          </cell>
          <cell r="AN141" t="str">
            <v>CS02-RED</v>
          </cell>
        </row>
        <row r="142">
          <cell r="J142" t="str">
            <v>FTEB_CS02_C3_S</v>
          </cell>
          <cell r="K142" t="str">
            <v>FTEB_CS02_C3_S</v>
          </cell>
          <cell r="L142" t="str">
            <v>FTEB_CS02_C3_S</v>
          </cell>
          <cell r="M142" t="str">
            <v>C200 R500.2 F/W</v>
          </cell>
          <cell r="O142" t="str">
            <v>N/A</v>
          </cell>
          <cell r="Q142" t="str">
            <v>EXCH PCM C200E Assembly</v>
          </cell>
          <cell r="S142" t="str">
            <v>172.16.4.66</v>
          </cell>
          <cell r="AA142" t="str">
            <v>255.255.248.0</v>
          </cell>
          <cell r="AI142">
            <v>66</v>
          </cell>
          <cell r="AL142" t="str">
            <v>N/A</v>
          </cell>
          <cell r="AN142" t="str">
            <v>CS02-RED</v>
          </cell>
        </row>
        <row r="143">
          <cell r="J143" t="str">
            <v>FTEB_CS07_C1_P</v>
          </cell>
          <cell r="K143" t="str">
            <v>FTEB_CS07_C1_P</v>
          </cell>
          <cell r="L143" t="str">
            <v>FTEB_CS07_C1_P</v>
          </cell>
          <cell r="M143" t="str">
            <v>C200 R500.2 F/W</v>
          </cell>
          <cell r="O143" t="str">
            <v>N/A</v>
          </cell>
          <cell r="Q143" t="str">
            <v>EXCH PCM C200E Assembly</v>
          </cell>
          <cell r="S143" t="str">
            <v>172.16.4.83</v>
          </cell>
          <cell r="AA143" t="str">
            <v>255.255.248.0</v>
          </cell>
          <cell r="AI143">
            <v>83</v>
          </cell>
          <cell r="AL143" t="str">
            <v>N/A</v>
          </cell>
          <cell r="AN143" t="str">
            <v>CS07-RED</v>
          </cell>
        </row>
        <row r="144">
          <cell r="J144" t="str">
            <v>FTEB_CS07_C1_S</v>
          </cell>
          <cell r="K144" t="str">
            <v>FTEB_CS07_C1_S</v>
          </cell>
          <cell r="L144" t="str">
            <v>FTEB_CS07_C1_S</v>
          </cell>
          <cell r="M144" t="str">
            <v>C200 R500.2 F/W</v>
          </cell>
          <cell r="O144" t="str">
            <v>N/A</v>
          </cell>
          <cell r="Q144" t="str">
            <v>EXCH PCM C200E Assembly</v>
          </cell>
          <cell r="S144" t="str">
            <v>172.16.4.84</v>
          </cell>
          <cell r="AA144" t="str">
            <v>255.255.248.0</v>
          </cell>
          <cell r="AI144">
            <v>84</v>
          </cell>
          <cell r="AL144" t="str">
            <v>N/A</v>
          </cell>
          <cell r="AN144" t="str">
            <v>CS07-RED</v>
          </cell>
        </row>
        <row r="145">
          <cell r="J145" t="str">
            <v>FTEB_CS07_C2_P</v>
          </cell>
          <cell r="K145" t="str">
            <v>FTEB_CS07_C2_P</v>
          </cell>
          <cell r="L145" t="str">
            <v>FTEB_CS07_C2_P</v>
          </cell>
          <cell r="M145" t="str">
            <v>C200 R500.2 F/W</v>
          </cell>
          <cell r="O145" t="str">
            <v>N/A</v>
          </cell>
          <cell r="Q145" t="str">
            <v>EXCH PCM C200E Assembly</v>
          </cell>
          <cell r="S145" t="str">
            <v>172.16.4.85</v>
          </cell>
          <cell r="AA145" t="str">
            <v>255.255.248.0</v>
          </cell>
          <cell r="AI145">
            <v>85</v>
          </cell>
          <cell r="AL145" t="str">
            <v>N/A</v>
          </cell>
          <cell r="AN145" t="str">
            <v>CS07-RED</v>
          </cell>
        </row>
        <row r="146">
          <cell r="J146" t="str">
            <v>FTEB_CS07_C2_S</v>
          </cell>
          <cell r="K146" t="str">
            <v>FTEB_CS07_C2_S</v>
          </cell>
          <cell r="L146" t="str">
            <v>FTEB_CS07_C2_S</v>
          </cell>
          <cell r="M146" t="str">
            <v>C200 R500.2 F/W</v>
          </cell>
          <cell r="O146" t="str">
            <v>N/A</v>
          </cell>
          <cell r="Q146" t="str">
            <v>EXCH PCM C200E Assembly</v>
          </cell>
          <cell r="S146" t="str">
            <v>172.16.4.86</v>
          </cell>
          <cell r="AA146" t="str">
            <v>255.255.248.0</v>
          </cell>
          <cell r="AI146">
            <v>86</v>
          </cell>
          <cell r="AL146" t="str">
            <v>N/A</v>
          </cell>
          <cell r="AN146" t="str">
            <v>CS07-RED</v>
          </cell>
        </row>
        <row r="147">
          <cell r="J147" t="str">
            <v>FTEB_CS07_C3_P</v>
          </cell>
          <cell r="K147" t="str">
            <v>FTEB_CS07_C3_P</v>
          </cell>
          <cell r="L147" t="str">
            <v>FTEB_CS07_C3_P</v>
          </cell>
          <cell r="M147" t="str">
            <v>C200 R500.2 F/W</v>
          </cell>
          <cell r="O147" t="str">
            <v>N/A</v>
          </cell>
          <cell r="Q147" t="str">
            <v>EXCH PCM C200E Assembly</v>
          </cell>
          <cell r="S147" t="str">
            <v>172.16.4.87</v>
          </cell>
          <cell r="AA147" t="str">
            <v>255.255.248.0</v>
          </cell>
          <cell r="AI147">
            <v>87</v>
          </cell>
          <cell r="AL147" t="str">
            <v>N/A</v>
          </cell>
          <cell r="AN147" t="str">
            <v>CS07-RED</v>
          </cell>
        </row>
        <row r="148">
          <cell r="J148" t="str">
            <v>FTEB_CS07_C3_S</v>
          </cell>
          <cell r="K148" t="str">
            <v>FTEB_CS07_C3_S</v>
          </cell>
          <cell r="L148" t="str">
            <v>FTEB_CS07_C3_S</v>
          </cell>
          <cell r="M148" t="str">
            <v>C200 R500.2 F/W</v>
          </cell>
          <cell r="O148" t="str">
            <v>N/A</v>
          </cell>
          <cell r="Q148" t="str">
            <v>EXCH PCM C200E Assembly</v>
          </cell>
          <cell r="S148" t="str">
            <v>172.16.4.88</v>
          </cell>
          <cell r="AA148" t="str">
            <v>255.255.248.0</v>
          </cell>
          <cell r="AI148">
            <v>88</v>
          </cell>
          <cell r="AL148" t="str">
            <v>N/A</v>
          </cell>
          <cell r="AN148" t="str">
            <v>CS07-RED</v>
          </cell>
        </row>
        <row r="149">
          <cell r="J149" t="str">
            <v>FTEB_CS10_C1_P</v>
          </cell>
          <cell r="K149" t="str">
            <v>FTEB_CS10_C1_P</v>
          </cell>
          <cell r="L149" t="str">
            <v>FTEB_CS10_C1_P</v>
          </cell>
          <cell r="M149" t="str">
            <v>C200 R500.2 F/W</v>
          </cell>
          <cell r="O149" t="str">
            <v>N/A</v>
          </cell>
          <cell r="Q149" t="str">
            <v>EXCH PCM C200E Assembly</v>
          </cell>
          <cell r="S149" t="str">
            <v>172.16.4.91</v>
          </cell>
          <cell r="AA149" t="str">
            <v>255.255.248.0</v>
          </cell>
          <cell r="AI149">
            <v>91</v>
          </cell>
          <cell r="AL149" t="str">
            <v>N/A</v>
          </cell>
          <cell r="AN149" t="str">
            <v>CS10-RED</v>
          </cell>
        </row>
        <row r="150">
          <cell r="J150" t="str">
            <v>FTEB_CS10_C1_S</v>
          </cell>
          <cell r="K150" t="str">
            <v>FTEB_CS10_C1_S</v>
          </cell>
          <cell r="L150" t="str">
            <v>FTEB_CS10_C1_S</v>
          </cell>
          <cell r="M150" t="str">
            <v>C200 R500.2 F/W</v>
          </cell>
          <cell r="O150" t="str">
            <v>N/A</v>
          </cell>
          <cell r="Q150" t="str">
            <v>EXCH PCM C200E Assembly</v>
          </cell>
          <cell r="S150" t="str">
            <v>172.16.4.92</v>
          </cell>
          <cell r="AA150" t="str">
            <v>255.255.248.0</v>
          </cell>
          <cell r="AI150">
            <v>92</v>
          </cell>
          <cell r="AL150" t="str">
            <v>N/A</v>
          </cell>
          <cell r="AN150" t="str">
            <v>CS10-RED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92"/>
  <sheetViews>
    <sheetView tabSelected="1" topLeftCell="A28" workbookViewId="0">
      <selection activeCell="H37" sqref="H1:H1048576"/>
    </sheetView>
  </sheetViews>
  <sheetFormatPr defaultRowHeight="14.25"/>
  <cols>
    <col min="1" max="1" width="50.125" style="27" bestFit="1" customWidth="1"/>
    <col min="2" max="2" width="21.875" style="2" bestFit="1" customWidth="1"/>
    <col min="3" max="3" width="15.75" style="1" customWidth="1"/>
    <col min="4" max="4" width="28.375" style="34" customWidth="1"/>
    <col min="5" max="5" width="29" style="2" customWidth="1"/>
    <col min="6" max="7" width="15.75" style="2" customWidth="1"/>
    <col min="8" max="8" width="14.75" style="2" bestFit="1" customWidth="1"/>
    <col min="9" max="9" width="11.25" bestFit="1" customWidth="1"/>
    <col min="10" max="10" width="32.75" customWidth="1"/>
    <col min="64" max="254" width="9.125" style="1"/>
    <col min="255" max="255" width="48" style="1" bestFit="1" customWidth="1"/>
    <col min="256" max="256" width="21.875" style="1" bestFit="1" customWidth="1"/>
    <col min="257" max="257" width="15.75" style="1" customWidth="1"/>
    <col min="258" max="258" width="44.75" style="1" bestFit="1" customWidth="1"/>
    <col min="259" max="261" width="15.75" style="1" customWidth="1"/>
    <col min="262" max="262" width="14.875" style="1" bestFit="1" customWidth="1"/>
    <col min="263" max="263" width="14.875" style="1" customWidth="1"/>
    <col min="264" max="264" width="14.75" style="1" bestFit="1" customWidth="1"/>
    <col min="265" max="265" width="11.25" style="1" bestFit="1" customWidth="1"/>
    <col min="266" max="266" width="32.75" style="1" customWidth="1"/>
    <col min="267" max="510" width="9.125" style="1"/>
    <col min="511" max="511" width="48" style="1" bestFit="1" customWidth="1"/>
    <col min="512" max="512" width="21.875" style="1" bestFit="1" customWidth="1"/>
    <col min="513" max="513" width="15.75" style="1" customWidth="1"/>
    <col min="514" max="514" width="44.75" style="1" bestFit="1" customWidth="1"/>
    <col min="515" max="517" width="15.75" style="1" customWidth="1"/>
    <col min="518" max="518" width="14.875" style="1" bestFit="1" customWidth="1"/>
    <col min="519" max="519" width="14.875" style="1" customWidth="1"/>
    <col min="520" max="520" width="14.75" style="1" bestFit="1" customWidth="1"/>
    <col min="521" max="521" width="11.25" style="1" bestFit="1" customWidth="1"/>
    <col min="522" max="522" width="32.75" style="1" customWidth="1"/>
    <col min="523" max="766" width="9.125" style="1"/>
    <col min="767" max="767" width="48" style="1" bestFit="1" customWidth="1"/>
    <col min="768" max="768" width="21.875" style="1" bestFit="1" customWidth="1"/>
    <col min="769" max="769" width="15.75" style="1" customWidth="1"/>
    <col min="770" max="770" width="44.75" style="1" bestFit="1" customWidth="1"/>
    <col min="771" max="773" width="15.75" style="1" customWidth="1"/>
    <col min="774" max="774" width="14.875" style="1" bestFit="1" customWidth="1"/>
    <col min="775" max="775" width="14.875" style="1" customWidth="1"/>
    <col min="776" max="776" width="14.75" style="1" bestFit="1" customWidth="1"/>
    <col min="777" max="777" width="11.25" style="1" bestFit="1" customWidth="1"/>
    <col min="778" max="778" width="32.75" style="1" customWidth="1"/>
    <col min="779" max="1022" width="9.125" style="1"/>
    <col min="1023" max="1023" width="48" style="1" bestFit="1" customWidth="1"/>
    <col min="1024" max="1024" width="21.875" style="1" bestFit="1" customWidth="1"/>
    <col min="1025" max="1025" width="15.75" style="1" customWidth="1"/>
    <col min="1026" max="1026" width="44.75" style="1" bestFit="1" customWidth="1"/>
    <col min="1027" max="1029" width="15.75" style="1" customWidth="1"/>
    <col min="1030" max="1030" width="14.875" style="1" bestFit="1" customWidth="1"/>
    <col min="1031" max="1031" width="14.875" style="1" customWidth="1"/>
    <col min="1032" max="1032" width="14.75" style="1" bestFit="1" customWidth="1"/>
    <col min="1033" max="1033" width="11.25" style="1" bestFit="1" customWidth="1"/>
    <col min="1034" max="1034" width="32.75" style="1" customWidth="1"/>
    <col min="1035" max="1278" width="9.125" style="1"/>
    <col min="1279" max="1279" width="48" style="1" bestFit="1" customWidth="1"/>
    <col min="1280" max="1280" width="21.875" style="1" bestFit="1" customWidth="1"/>
    <col min="1281" max="1281" width="15.75" style="1" customWidth="1"/>
    <col min="1282" max="1282" width="44.75" style="1" bestFit="1" customWidth="1"/>
    <col min="1283" max="1285" width="15.75" style="1" customWidth="1"/>
    <col min="1286" max="1286" width="14.875" style="1" bestFit="1" customWidth="1"/>
    <col min="1287" max="1287" width="14.875" style="1" customWidth="1"/>
    <col min="1288" max="1288" width="14.75" style="1" bestFit="1" customWidth="1"/>
    <col min="1289" max="1289" width="11.25" style="1" bestFit="1" customWidth="1"/>
    <col min="1290" max="1290" width="32.75" style="1" customWidth="1"/>
    <col min="1291" max="1534" width="9.125" style="1"/>
    <col min="1535" max="1535" width="48" style="1" bestFit="1" customWidth="1"/>
    <col min="1536" max="1536" width="21.875" style="1" bestFit="1" customWidth="1"/>
    <col min="1537" max="1537" width="15.75" style="1" customWidth="1"/>
    <col min="1538" max="1538" width="44.75" style="1" bestFit="1" customWidth="1"/>
    <col min="1539" max="1541" width="15.75" style="1" customWidth="1"/>
    <col min="1542" max="1542" width="14.875" style="1" bestFit="1" customWidth="1"/>
    <col min="1543" max="1543" width="14.875" style="1" customWidth="1"/>
    <col min="1544" max="1544" width="14.75" style="1" bestFit="1" customWidth="1"/>
    <col min="1545" max="1545" width="11.25" style="1" bestFit="1" customWidth="1"/>
    <col min="1546" max="1546" width="32.75" style="1" customWidth="1"/>
    <col min="1547" max="1790" width="9.125" style="1"/>
    <col min="1791" max="1791" width="48" style="1" bestFit="1" customWidth="1"/>
    <col min="1792" max="1792" width="21.875" style="1" bestFit="1" customWidth="1"/>
    <col min="1793" max="1793" width="15.75" style="1" customWidth="1"/>
    <col min="1794" max="1794" width="44.75" style="1" bestFit="1" customWidth="1"/>
    <col min="1795" max="1797" width="15.75" style="1" customWidth="1"/>
    <col min="1798" max="1798" width="14.875" style="1" bestFit="1" customWidth="1"/>
    <col min="1799" max="1799" width="14.875" style="1" customWidth="1"/>
    <col min="1800" max="1800" width="14.75" style="1" bestFit="1" customWidth="1"/>
    <col min="1801" max="1801" width="11.25" style="1" bestFit="1" customWidth="1"/>
    <col min="1802" max="1802" width="32.75" style="1" customWidth="1"/>
    <col min="1803" max="2046" width="9.125" style="1"/>
    <col min="2047" max="2047" width="48" style="1" bestFit="1" customWidth="1"/>
    <col min="2048" max="2048" width="21.875" style="1" bestFit="1" customWidth="1"/>
    <col min="2049" max="2049" width="15.75" style="1" customWidth="1"/>
    <col min="2050" max="2050" width="44.75" style="1" bestFit="1" customWidth="1"/>
    <col min="2051" max="2053" width="15.75" style="1" customWidth="1"/>
    <col min="2054" max="2054" width="14.875" style="1" bestFit="1" customWidth="1"/>
    <col min="2055" max="2055" width="14.875" style="1" customWidth="1"/>
    <col min="2056" max="2056" width="14.75" style="1" bestFit="1" customWidth="1"/>
    <col min="2057" max="2057" width="11.25" style="1" bestFit="1" customWidth="1"/>
    <col min="2058" max="2058" width="32.75" style="1" customWidth="1"/>
    <col min="2059" max="2302" width="9.125" style="1"/>
    <col min="2303" max="2303" width="48" style="1" bestFit="1" customWidth="1"/>
    <col min="2304" max="2304" width="21.875" style="1" bestFit="1" customWidth="1"/>
    <col min="2305" max="2305" width="15.75" style="1" customWidth="1"/>
    <col min="2306" max="2306" width="44.75" style="1" bestFit="1" customWidth="1"/>
    <col min="2307" max="2309" width="15.75" style="1" customWidth="1"/>
    <col min="2310" max="2310" width="14.875" style="1" bestFit="1" customWidth="1"/>
    <col min="2311" max="2311" width="14.875" style="1" customWidth="1"/>
    <col min="2312" max="2312" width="14.75" style="1" bestFit="1" customWidth="1"/>
    <col min="2313" max="2313" width="11.25" style="1" bestFit="1" customWidth="1"/>
    <col min="2314" max="2314" width="32.75" style="1" customWidth="1"/>
    <col min="2315" max="2558" width="9.125" style="1"/>
    <col min="2559" max="2559" width="48" style="1" bestFit="1" customWidth="1"/>
    <col min="2560" max="2560" width="21.875" style="1" bestFit="1" customWidth="1"/>
    <col min="2561" max="2561" width="15.75" style="1" customWidth="1"/>
    <col min="2562" max="2562" width="44.75" style="1" bestFit="1" customWidth="1"/>
    <col min="2563" max="2565" width="15.75" style="1" customWidth="1"/>
    <col min="2566" max="2566" width="14.875" style="1" bestFit="1" customWidth="1"/>
    <col min="2567" max="2567" width="14.875" style="1" customWidth="1"/>
    <col min="2568" max="2568" width="14.75" style="1" bestFit="1" customWidth="1"/>
    <col min="2569" max="2569" width="11.25" style="1" bestFit="1" customWidth="1"/>
    <col min="2570" max="2570" width="32.75" style="1" customWidth="1"/>
    <col min="2571" max="2814" width="9.125" style="1"/>
    <col min="2815" max="2815" width="48" style="1" bestFit="1" customWidth="1"/>
    <col min="2816" max="2816" width="21.875" style="1" bestFit="1" customWidth="1"/>
    <col min="2817" max="2817" width="15.75" style="1" customWidth="1"/>
    <col min="2818" max="2818" width="44.75" style="1" bestFit="1" customWidth="1"/>
    <col min="2819" max="2821" width="15.75" style="1" customWidth="1"/>
    <col min="2822" max="2822" width="14.875" style="1" bestFit="1" customWidth="1"/>
    <col min="2823" max="2823" width="14.875" style="1" customWidth="1"/>
    <col min="2824" max="2824" width="14.75" style="1" bestFit="1" customWidth="1"/>
    <col min="2825" max="2825" width="11.25" style="1" bestFit="1" customWidth="1"/>
    <col min="2826" max="2826" width="32.75" style="1" customWidth="1"/>
    <col min="2827" max="3070" width="9.125" style="1"/>
    <col min="3071" max="3071" width="48" style="1" bestFit="1" customWidth="1"/>
    <col min="3072" max="3072" width="21.875" style="1" bestFit="1" customWidth="1"/>
    <col min="3073" max="3073" width="15.75" style="1" customWidth="1"/>
    <col min="3074" max="3074" width="44.75" style="1" bestFit="1" customWidth="1"/>
    <col min="3075" max="3077" width="15.75" style="1" customWidth="1"/>
    <col min="3078" max="3078" width="14.875" style="1" bestFit="1" customWidth="1"/>
    <col min="3079" max="3079" width="14.875" style="1" customWidth="1"/>
    <col min="3080" max="3080" width="14.75" style="1" bestFit="1" customWidth="1"/>
    <col min="3081" max="3081" width="11.25" style="1" bestFit="1" customWidth="1"/>
    <col min="3082" max="3082" width="32.75" style="1" customWidth="1"/>
    <col min="3083" max="3326" width="9.125" style="1"/>
    <col min="3327" max="3327" width="48" style="1" bestFit="1" customWidth="1"/>
    <col min="3328" max="3328" width="21.875" style="1" bestFit="1" customWidth="1"/>
    <col min="3329" max="3329" width="15.75" style="1" customWidth="1"/>
    <col min="3330" max="3330" width="44.75" style="1" bestFit="1" customWidth="1"/>
    <col min="3331" max="3333" width="15.75" style="1" customWidth="1"/>
    <col min="3334" max="3334" width="14.875" style="1" bestFit="1" customWidth="1"/>
    <col min="3335" max="3335" width="14.875" style="1" customWidth="1"/>
    <col min="3336" max="3336" width="14.75" style="1" bestFit="1" customWidth="1"/>
    <col min="3337" max="3337" width="11.25" style="1" bestFit="1" customWidth="1"/>
    <col min="3338" max="3338" width="32.75" style="1" customWidth="1"/>
    <col min="3339" max="3582" width="9.125" style="1"/>
    <col min="3583" max="3583" width="48" style="1" bestFit="1" customWidth="1"/>
    <col min="3584" max="3584" width="21.875" style="1" bestFit="1" customWidth="1"/>
    <col min="3585" max="3585" width="15.75" style="1" customWidth="1"/>
    <col min="3586" max="3586" width="44.75" style="1" bestFit="1" customWidth="1"/>
    <col min="3587" max="3589" width="15.75" style="1" customWidth="1"/>
    <col min="3590" max="3590" width="14.875" style="1" bestFit="1" customWidth="1"/>
    <col min="3591" max="3591" width="14.875" style="1" customWidth="1"/>
    <col min="3592" max="3592" width="14.75" style="1" bestFit="1" customWidth="1"/>
    <col min="3593" max="3593" width="11.25" style="1" bestFit="1" customWidth="1"/>
    <col min="3594" max="3594" width="32.75" style="1" customWidth="1"/>
    <col min="3595" max="3838" width="9.125" style="1"/>
    <col min="3839" max="3839" width="48" style="1" bestFit="1" customWidth="1"/>
    <col min="3840" max="3840" width="21.875" style="1" bestFit="1" customWidth="1"/>
    <col min="3841" max="3841" width="15.75" style="1" customWidth="1"/>
    <col min="3842" max="3842" width="44.75" style="1" bestFit="1" customWidth="1"/>
    <col min="3843" max="3845" width="15.75" style="1" customWidth="1"/>
    <col min="3846" max="3846" width="14.875" style="1" bestFit="1" customWidth="1"/>
    <col min="3847" max="3847" width="14.875" style="1" customWidth="1"/>
    <col min="3848" max="3848" width="14.75" style="1" bestFit="1" customWidth="1"/>
    <col min="3849" max="3849" width="11.25" style="1" bestFit="1" customWidth="1"/>
    <col min="3850" max="3850" width="32.75" style="1" customWidth="1"/>
    <col min="3851" max="4094" width="9.125" style="1"/>
    <col min="4095" max="4095" width="48" style="1" bestFit="1" customWidth="1"/>
    <col min="4096" max="4096" width="21.875" style="1" bestFit="1" customWidth="1"/>
    <col min="4097" max="4097" width="15.75" style="1" customWidth="1"/>
    <col min="4098" max="4098" width="44.75" style="1" bestFit="1" customWidth="1"/>
    <col min="4099" max="4101" width="15.75" style="1" customWidth="1"/>
    <col min="4102" max="4102" width="14.875" style="1" bestFit="1" customWidth="1"/>
    <col min="4103" max="4103" width="14.875" style="1" customWidth="1"/>
    <col min="4104" max="4104" width="14.75" style="1" bestFit="1" customWidth="1"/>
    <col min="4105" max="4105" width="11.25" style="1" bestFit="1" customWidth="1"/>
    <col min="4106" max="4106" width="32.75" style="1" customWidth="1"/>
    <col min="4107" max="4350" width="9.125" style="1"/>
    <col min="4351" max="4351" width="48" style="1" bestFit="1" customWidth="1"/>
    <col min="4352" max="4352" width="21.875" style="1" bestFit="1" customWidth="1"/>
    <col min="4353" max="4353" width="15.75" style="1" customWidth="1"/>
    <col min="4354" max="4354" width="44.75" style="1" bestFit="1" customWidth="1"/>
    <col min="4355" max="4357" width="15.75" style="1" customWidth="1"/>
    <col min="4358" max="4358" width="14.875" style="1" bestFit="1" customWidth="1"/>
    <col min="4359" max="4359" width="14.875" style="1" customWidth="1"/>
    <col min="4360" max="4360" width="14.75" style="1" bestFit="1" customWidth="1"/>
    <col min="4361" max="4361" width="11.25" style="1" bestFit="1" customWidth="1"/>
    <col min="4362" max="4362" width="32.75" style="1" customWidth="1"/>
    <col min="4363" max="4606" width="9.125" style="1"/>
    <col min="4607" max="4607" width="48" style="1" bestFit="1" customWidth="1"/>
    <col min="4608" max="4608" width="21.875" style="1" bestFit="1" customWidth="1"/>
    <col min="4609" max="4609" width="15.75" style="1" customWidth="1"/>
    <col min="4610" max="4610" width="44.75" style="1" bestFit="1" customWidth="1"/>
    <col min="4611" max="4613" width="15.75" style="1" customWidth="1"/>
    <col min="4614" max="4614" width="14.875" style="1" bestFit="1" customWidth="1"/>
    <col min="4615" max="4615" width="14.875" style="1" customWidth="1"/>
    <col min="4616" max="4616" width="14.75" style="1" bestFit="1" customWidth="1"/>
    <col min="4617" max="4617" width="11.25" style="1" bestFit="1" customWidth="1"/>
    <col min="4618" max="4618" width="32.75" style="1" customWidth="1"/>
    <col min="4619" max="4862" width="9.125" style="1"/>
    <col min="4863" max="4863" width="48" style="1" bestFit="1" customWidth="1"/>
    <col min="4864" max="4864" width="21.875" style="1" bestFit="1" customWidth="1"/>
    <col min="4865" max="4865" width="15.75" style="1" customWidth="1"/>
    <col min="4866" max="4866" width="44.75" style="1" bestFit="1" customWidth="1"/>
    <col min="4867" max="4869" width="15.75" style="1" customWidth="1"/>
    <col min="4870" max="4870" width="14.875" style="1" bestFit="1" customWidth="1"/>
    <col min="4871" max="4871" width="14.875" style="1" customWidth="1"/>
    <col min="4872" max="4872" width="14.75" style="1" bestFit="1" customWidth="1"/>
    <col min="4873" max="4873" width="11.25" style="1" bestFit="1" customWidth="1"/>
    <col min="4874" max="4874" width="32.75" style="1" customWidth="1"/>
    <col min="4875" max="5118" width="9.125" style="1"/>
    <col min="5119" max="5119" width="48" style="1" bestFit="1" customWidth="1"/>
    <col min="5120" max="5120" width="21.875" style="1" bestFit="1" customWidth="1"/>
    <col min="5121" max="5121" width="15.75" style="1" customWidth="1"/>
    <col min="5122" max="5122" width="44.75" style="1" bestFit="1" customWidth="1"/>
    <col min="5123" max="5125" width="15.75" style="1" customWidth="1"/>
    <col min="5126" max="5126" width="14.875" style="1" bestFit="1" customWidth="1"/>
    <col min="5127" max="5127" width="14.875" style="1" customWidth="1"/>
    <col min="5128" max="5128" width="14.75" style="1" bestFit="1" customWidth="1"/>
    <col min="5129" max="5129" width="11.25" style="1" bestFit="1" customWidth="1"/>
    <col min="5130" max="5130" width="32.75" style="1" customWidth="1"/>
    <col min="5131" max="5374" width="9.125" style="1"/>
    <col min="5375" max="5375" width="48" style="1" bestFit="1" customWidth="1"/>
    <col min="5376" max="5376" width="21.875" style="1" bestFit="1" customWidth="1"/>
    <col min="5377" max="5377" width="15.75" style="1" customWidth="1"/>
    <col min="5378" max="5378" width="44.75" style="1" bestFit="1" customWidth="1"/>
    <col min="5379" max="5381" width="15.75" style="1" customWidth="1"/>
    <col min="5382" max="5382" width="14.875" style="1" bestFit="1" customWidth="1"/>
    <col min="5383" max="5383" width="14.875" style="1" customWidth="1"/>
    <col min="5384" max="5384" width="14.75" style="1" bestFit="1" customWidth="1"/>
    <col min="5385" max="5385" width="11.25" style="1" bestFit="1" customWidth="1"/>
    <col min="5386" max="5386" width="32.75" style="1" customWidth="1"/>
    <col min="5387" max="5630" width="9.125" style="1"/>
    <col min="5631" max="5631" width="48" style="1" bestFit="1" customWidth="1"/>
    <col min="5632" max="5632" width="21.875" style="1" bestFit="1" customWidth="1"/>
    <col min="5633" max="5633" width="15.75" style="1" customWidth="1"/>
    <col min="5634" max="5634" width="44.75" style="1" bestFit="1" customWidth="1"/>
    <col min="5635" max="5637" width="15.75" style="1" customWidth="1"/>
    <col min="5638" max="5638" width="14.875" style="1" bestFit="1" customWidth="1"/>
    <col min="5639" max="5639" width="14.875" style="1" customWidth="1"/>
    <col min="5640" max="5640" width="14.75" style="1" bestFit="1" customWidth="1"/>
    <col min="5641" max="5641" width="11.25" style="1" bestFit="1" customWidth="1"/>
    <col min="5642" max="5642" width="32.75" style="1" customWidth="1"/>
    <col min="5643" max="5886" width="9.125" style="1"/>
    <col min="5887" max="5887" width="48" style="1" bestFit="1" customWidth="1"/>
    <col min="5888" max="5888" width="21.875" style="1" bestFit="1" customWidth="1"/>
    <col min="5889" max="5889" width="15.75" style="1" customWidth="1"/>
    <col min="5890" max="5890" width="44.75" style="1" bestFit="1" customWidth="1"/>
    <col min="5891" max="5893" width="15.75" style="1" customWidth="1"/>
    <col min="5894" max="5894" width="14.875" style="1" bestFit="1" customWidth="1"/>
    <col min="5895" max="5895" width="14.875" style="1" customWidth="1"/>
    <col min="5896" max="5896" width="14.75" style="1" bestFit="1" customWidth="1"/>
    <col min="5897" max="5897" width="11.25" style="1" bestFit="1" customWidth="1"/>
    <col min="5898" max="5898" width="32.75" style="1" customWidth="1"/>
    <col min="5899" max="6142" width="9.125" style="1"/>
    <col min="6143" max="6143" width="48" style="1" bestFit="1" customWidth="1"/>
    <col min="6144" max="6144" width="21.875" style="1" bestFit="1" customWidth="1"/>
    <col min="6145" max="6145" width="15.75" style="1" customWidth="1"/>
    <col min="6146" max="6146" width="44.75" style="1" bestFit="1" customWidth="1"/>
    <col min="6147" max="6149" width="15.75" style="1" customWidth="1"/>
    <col min="6150" max="6150" width="14.875" style="1" bestFit="1" customWidth="1"/>
    <col min="6151" max="6151" width="14.875" style="1" customWidth="1"/>
    <col min="6152" max="6152" width="14.75" style="1" bestFit="1" customWidth="1"/>
    <col min="6153" max="6153" width="11.25" style="1" bestFit="1" customWidth="1"/>
    <col min="6154" max="6154" width="32.75" style="1" customWidth="1"/>
    <col min="6155" max="6398" width="9.125" style="1"/>
    <col min="6399" max="6399" width="48" style="1" bestFit="1" customWidth="1"/>
    <col min="6400" max="6400" width="21.875" style="1" bestFit="1" customWidth="1"/>
    <col min="6401" max="6401" width="15.75" style="1" customWidth="1"/>
    <col min="6402" max="6402" width="44.75" style="1" bestFit="1" customWidth="1"/>
    <col min="6403" max="6405" width="15.75" style="1" customWidth="1"/>
    <col min="6406" max="6406" width="14.875" style="1" bestFit="1" customWidth="1"/>
    <col min="6407" max="6407" width="14.875" style="1" customWidth="1"/>
    <col min="6408" max="6408" width="14.75" style="1" bestFit="1" customWidth="1"/>
    <col min="6409" max="6409" width="11.25" style="1" bestFit="1" customWidth="1"/>
    <col min="6410" max="6410" width="32.75" style="1" customWidth="1"/>
    <col min="6411" max="6654" width="9.125" style="1"/>
    <col min="6655" max="6655" width="48" style="1" bestFit="1" customWidth="1"/>
    <col min="6656" max="6656" width="21.875" style="1" bestFit="1" customWidth="1"/>
    <col min="6657" max="6657" width="15.75" style="1" customWidth="1"/>
    <col min="6658" max="6658" width="44.75" style="1" bestFit="1" customWidth="1"/>
    <col min="6659" max="6661" width="15.75" style="1" customWidth="1"/>
    <col min="6662" max="6662" width="14.875" style="1" bestFit="1" customWidth="1"/>
    <col min="6663" max="6663" width="14.875" style="1" customWidth="1"/>
    <col min="6664" max="6664" width="14.75" style="1" bestFit="1" customWidth="1"/>
    <col min="6665" max="6665" width="11.25" style="1" bestFit="1" customWidth="1"/>
    <col min="6666" max="6666" width="32.75" style="1" customWidth="1"/>
    <col min="6667" max="6910" width="9.125" style="1"/>
    <col min="6911" max="6911" width="48" style="1" bestFit="1" customWidth="1"/>
    <col min="6912" max="6912" width="21.875" style="1" bestFit="1" customWidth="1"/>
    <col min="6913" max="6913" width="15.75" style="1" customWidth="1"/>
    <col min="6914" max="6914" width="44.75" style="1" bestFit="1" customWidth="1"/>
    <col min="6915" max="6917" width="15.75" style="1" customWidth="1"/>
    <col min="6918" max="6918" width="14.875" style="1" bestFit="1" customWidth="1"/>
    <col min="6919" max="6919" width="14.875" style="1" customWidth="1"/>
    <col min="6920" max="6920" width="14.75" style="1" bestFit="1" customWidth="1"/>
    <col min="6921" max="6921" width="11.25" style="1" bestFit="1" customWidth="1"/>
    <col min="6922" max="6922" width="32.75" style="1" customWidth="1"/>
    <col min="6923" max="7166" width="9.125" style="1"/>
    <col min="7167" max="7167" width="48" style="1" bestFit="1" customWidth="1"/>
    <col min="7168" max="7168" width="21.875" style="1" bestFit="1" customWidth="1"/>
    <col min="7169" max="7169" width="15.75" style="1" customWidth="1"/>
    <col min="7170" max="7170" width="44.75" style="1" bestFit="1" customWidth="1"/>
    <col min="7171" max="7173" width="15.75" style="1" customWidth="1"/>
    <col min="7174" max="7174" width="14.875" style="1" bestFit="1" customWidth="1"/>
    <col min="7175" max="7175" width="14.875" style="1" customWidth="1"/>
    <col min="7176" max="7176" width="14.75" style="1" bestFit="1" customWidth="1"/>
    <col min="7177" max="7177" width="11.25" style="1" bestFit="1" customWidth="1"/>
    <col min="7178" max="7178" width="32.75" style="1" customWidth="1"/>
    <col min="7179" max="7422" width="9.125" style="1"/>
    <col min="7423" max="7423" width="48" style="1" bestFit="1" customWidth="1"/>
    <col min="7424" max="7424" width="21.875" style="1" bestFit="1" customWidth="1"/>
    <col min="7425" max="7425" width="15.75" style="1" customWidth="1"/>
    <col min="7426" max="7426" width="44.75" style="1" bestFit="1" customWidth="1"/>
    <col min="7427" max="7429" width="15.75" style="1" customWidth="1"/>
    <col min="7430" max="7430" width="14.875" style="1" bestFit="1" customWidth="1"/>
    <col min="7431" max="7431" width="14.875" style="1" customWidth="1"/>
    <col min="7432" max="7432" width="14.75" style="1" bestFit="1" customWidth="1"/>
    <col min="7433" max="7433" width="11.25" style="1" bestFit="1" customWidth="1"/>
    <col min="7434" max="7434" width="32.75" style="1" customWidth="1"/>
    <col min="7435" max="7678" width="9.125" style="1"/>
    <col min="7679" max="7679" width="48" style="1" bestFit="1" customWidth="1"/>
    <col min="7680" max="7680" width="21.875" style="1" bestFit="1" customWidth="1"/>
    <col min="7681" max="7681" width="15.75" style="1" customWidth="1"/>
    <col min="7682" max="7682" width="44.75" style="1" bestFit="1" customWidth="1"/>
    <col min="7683" max="7685" width="15.75" style="1" customWidth="1"/>
    <col min="7686" max="7686" width="14.875" style="1" bestFit="1" customWidth="1"/>
    <col min="7687" max="7687" width="14.875" style="1" customWidth="1"/>
    <col min="7688" max="7688" width="14.75" style="1" bestFit="1" customWidth="1"/>
    <col min="7689" max="7689" width="11.25" style="1" bestFit="1" customWidth="1"/>
    <col min="7690" max="7690" width="32.75" style="1" customWidth="1"/>
    <col min="7691" max="7934" width="9.125" style="1"/>
    <col min="7935" max="7935" width="48" style="1" bestFit="1" customWidth="1"/>
    <col min="7936" max="7936" width="21.875" style="1" bestFit="1" customWidth="1"/>
    <col min="7937" max="7937" width="15.75" style="1" customWidth="1"/>
    <col min="7938" max="7938" width="44.75" style="1" bestFit="1" customWidth="1"/>
    <col min="7939" max="7941" width="15.75" style="1" customWidth="1"/>
    <col min="7942" max="7942" width="14.875" style="1" bestFit="1" customWidth="1"/>
    <col min="7943" max="7943" width="14.875" style="1" customWidth="1"/>
    <col min="7944" max="7944" width="14.75" style="1" bestFit="1" customWidth="1"/>
    <col min="7945" max="7945" width="11.25" style="1" bestFit="1" customWidth="1"/>
    <col min="7946" max="7946" width="32.75" style="1" customWidth="1"/>
    <col min="7947" max="8190" width="9.125" style="1"/>
    <col min="8191" max="8191" width="48" style="1" bestFit="1" customWidth="1"/>
    <col min="8192" max="8192" width="21.875" style="1" bestFit="1" customWidth="1"/>
    <col min="8193" max="8193" width="15.75" style="1" customWidth="1"/>
    <col min="8194" max="8194" width="44.75" style="1" bestFit="1" customWidth="1"/>
    <col min="8195" max="8197" width="15.75" style="1" customWidth="1"/>
    <col min="8198" max="8198" width="14.875" style="1" bestFit="1" customWidth="1"/>
    <col min="8199" max="8199" width="14.875" style="1" customWidth="1"/>
    <col min="8200" max="8200" width="14.75" style="1" bestFit="1" customWidth="1"/>
    <col min="8201" max="8201" width="11.25" style="1" bestFit="1" customWidth="1"/>
    <col min="8202" max="8202" width="32.75" style="1" customWidth="1"/>
    <col min="8203" max="8446" width="9.125" style="1"/>
    <col min="8447" max="8447" width="48" style="1" bestFit="1" customWidth="1"/>
    <col min="8448" max="8448" width="21.875" style="1" bestFit="1" customWidth="1"/>
    <col min="8449" max="8449" width="15.75" style="1" customWidth="1"/>
    <col min="8450" max="8450" width="44.75" style="1" bestFit="1" customWidth="1"/>
    <col min="8451" max="8453" width="15.75" style="1" customWidth="1"/>
    <col min="8454" max="8454" width="14.875" style="1" bestFit="1" customWidth="1"/>
    <col min="8455" max="8455" width="14.875" style="1" customWidth="1"/>
    <col min="8456" max="8456" width="14.75" style="1" bestFit="1" customWidth="1"/>
    <col min="8457" max="8457" width="11.25" style="1" bestFit="1" customWidth="1"/>
    <col min="8458" max="8458" width="32.75" style="1" customWidth="1"/>
    <col min="8459" max="8702" width="9.125" style="1"/>
    <col min="8703" max="8703" width="48" style="1" bestFit="1" customWidth="1"/>
    <col min="8704" max="8704" width="21.875" style="1" bestFit="1" customWidth="1"/>
    <col min="8705" max="8705" width="15.75" style="1" customWidth="1"/>
    <col min="8706" max="8706" width="44.75" style="1" bestFit="1" customWidth="1"/>
    <col min="8707" max="8709" width="15.75" style="1" customWidth="1"/>
    <col min="8710" max="8710" width="14.875" style="1" bestFit="1" customWidth="1"/>
    <col min="8711" max="8711" width="14.875" style="1" customWidth="1"/>
    <col min="8712" max="8712" width="14.75" style="1" bestFit="1" customWidth="1"/>
    <col min="8713" max="8713" width="11.25" style="1" bestFit="1" customWidth="1"/>
    <col min="8714" max="8714" width="32.75" style="1" customWidth="1"/>
    <col min="8715" max="8958" width="9.125" style="1"/>
    <col min="8959" max="8959" width="48" style="1" bestFit="1" customWidth="1"/>
    <col min="8960" max="8960" width="21.875" style="1" bestFit="1" customWidth="1"/>
    <col min="8961" max="8961" width="15.75" style="1" customWidth="1"/>
    <col min="8962" max="8962" width="44.75" style="1" bestFit="1" customWidth="1"/>
    <col min="8963" max="8965" width="15.75" style="1" customWidth="1"/>
    <col min="8966" max="8966" width="14.875" style="1" bestFit="1" customWidth="1"/>
    <col min="8967" max="8967" width="14.875" style="1" customWidth="1"/>
    <col min="8968" max="8968" width="14.75" style="1" bestFit="1" customWidth="1"/>
    <col min="8969" max="8969" width="11.25" style="1" bestFit="1" customWidth="1"/>
    <col min="8970" max="8970" width="32.75" style="1" customWidth="1"/>
    <col min="8971" max="9214" width="9.125" style="1"/>
    <col min="9215" max="9215" width="48" style="1" bestFit="1" customWidth="1"/>
    <col min="9216" max="9216" width="21.875" style="1" bestFit="1" customWidth="1"/>
    <col min="9217" max="9217" width="15.75" style="1" customWidth="1"/>
    <col min="9218" max="9218" width="44.75" style="1" bestFit="1" customWidth="1"/>
    <col min="9219" max="9221" width="15.75" style="1" customWidth="1"/>
    <col min="9222" max="9222" width="14.875" style="1" bestFit="1" customWidth="1"/>
    <col min="9223" max="9223" width="14.875" style="1" customWidth="1"/>
    <col min="9224" max="9224" width="14.75" style="1" bestFit="1" customWidth="1"/>
    <col min="9225" max="9225" width="11.25" style="1" bestFit="1" customWidth="1"/>
    <col min="9226" max="9226" width="32.75" style="1" customWidth="1"/>
    <col min="9227" max="9470" width="9.125" style="1"/>
    <col min="9471" max="9471" width="48" style="1" bestFit="1" customWidth="1"/>
    <col min="9472" max="9472" width="21.875" style="1" bestFit="1" customWidth="1"/>
    <col min="9473" max="9473" width="15.75" style="1" customWidth="1"/>
    <col min="9474" max="9474" width="44.75" style="1" bestFit="1" customWidth="1"/>
    <col min="9475" max="9477" width="15.75" style="1" customWidth="1"/>
    <col min="9478" max="9478" width="14.875" style="1" bestFit="1" customWidth="1"/>
    <col min="9479" max="9479" width="14.875" style="1" customWidth="1"/>
    <col min="9480" max="9480" width="14.75" style="1" bestFit="1" customWidth="1"/>
    <col min="9481" max="9481" width="11.25" style="1" bestFit="1" customWidth="1"/>
    <col min="9482" max="9482" width="32.75" style="1" customWidth="1"/>
    <col min="9483" max="9726" width="9.125" style="1"/>
    <col min="9727" max="9727" width="48" style="1" bestFit="1" customWidth="1"/>
    <col min="9728" max="9728" width="21.875" style="1" bestFit="1" customWidth="1"/>
    <col min="9729" max="9729" width="15.75" style="1" customWidth="1"/>
    <col min="9730" max="9730" width="44.75" style="1" bestFit="1" customWidth="1"/>
    <col min="9731" max="9733" width="15.75" style="1" customWidth="1"/>
    <col min="9734" max="9734" width="14.875" style="1" bestFit="1" customWidth="1"/>
    <col min="9735" max="9735" width="14.875" style="1" customWidth="1"/>
    <col min="9736" max="9736" width="14.75" style="1" bestFit="1" customWidth="1"/>
    <col min="9737" max="9737" width="11.25" style="1" bestFit="1" customWidth="1"/>
    <col min="9738" max="9738" width="32.75" style="1" customWidth="1"/>
    <col min="9739" max="9982" width="9.125" style="1"/>
    <col min="9983" max="9983" width="48" style="1" bestFit="1" customWidth="1"/>
    <col min="9984" max="9984" width="21.875" style="1" bestFit="1" customWidth="1"/>
    <col min="9985" max="9985" width="15.75" style="1" customWidth="1"/>
    <col min="9986" max="9986" width="44.75" style="1" bestFit="1" customWidth="1"/>
    <col min="9987" max="9989" width="15.75" style="1" customWidth="1"/>
    <col min="9990" max="9990" width="14.875" style="1" bestFit="1" customWidth="1"/>
    <col min="9991" max="9991" width="14.875" style="1" customWidth="1"/>
    <col min="9992" max="9992" width="14.75" style="1" bestFit="1" customWidth="1"/>
    <col min="9993" max="9993" width="11.25" style="1" bestFit="1" customWidth="1"/>
    <col min="9994" max="9994" width="32.75" style="1" customWidth="1"/>
    <col min="9995" max="10238" width="9.125" style="1"/>
    <col min="10239" max="10239" width="48" style="1" bestFit="1" customWidth="1"/>
    <col min="10240" max="10240" width="21.875" style="1" bestFit="1" customWidth="1"/>
    <col min="10241" max="10241" width="15.75" style="1" customWidth="1"/>
    <col min="10242" max="10242" width="44.75" style="1" bestFit="1" customWidth="1"/>
    <col min="10243" max="10245" width="15.75" style="1" customWidth="1"/>
    <col min="10246" max="10246" width="14.875" style="1" bestFit="1" customWidth="1"/>
    <col min="10247" max="10247" width="14.875" style="1" customWidth="1"/>
    <col min="10248" max="10248" width="14.75" style="1" bestFit="1" customWidth="1"/>
    <col min="10249" max="10249" width="11.25" style="1" bestFit="1" customWidth="1"/>
    <col min="10250" max="10250" width="32.75" style="1" customWidth="1"/>
    <col min="10251" max="10494" width="9.125" style="1"/>
    <col min="10495" max="10495" width="48" style="1" bestFit="1" customWidth="1"/>
    <col min="10496" max="10496" width="21.875" style="1" bestFit="1" customWidth="1"/>
    <col min="10497" max="10497" width="15.75" style="1" customWidth="1"/>
    <col min="10498" max="10498" width="44.75" style="1" bestFit="1" customWidth="1"/>
    <col min="10499" max="10501" width="15.75" style="1" customWidth="1"/>
    <col min="10502" max="10502" width="14.875" style="1" bestFit="1" customWidth="1"/>
    <col min="10503" max="10503" width="14.875" style="1" customWidth="1"/>
    <col min="10504" max="10504" width="14.75" style="1" bestFit="1" customWidth="1"/>
    <col min="10505" max="10505" width="11.25" style="1" bestFit="1" customWidth="1"/>
    <col min="10506" max="10506" width="32.75" style="1" customWidth="1"/>
    <col min="10507" max="10750" width="9.125" style="1"/>
    <col min="10751" max="10751" width="48" style="1" bestFit="1" customWidth="1"/>
    <col min="10752" max="10752" width="21.875" style="1" bestFit="1" customWidth="1"/>
    <col min="10753" max="10753" width="15.75" style="1" customWidth="1"/>
    <col min="10754" max="10754" width="44.75" style="1" bestFit="1" customWidth="1"/>
    <col min="10755" max="10757" width="15.75" style="1" customWidth="1"/>
    <col min="10758" max="10758" width="14.875" style="1" bestFit="1" customWidth="1"/>
    <col min="10759" max="10759" width="14.875" style="1" customWidth="1"/>
    <col min="10760" max="10760" width="14.75" style="1" bestFit="1" customWidth="1"/>
    <col min="10761" max="10761" width="11.25" style="1" bestFit="1" customWidth="1"/>
    <col min="10762" max="10762" width="32.75" style="1" customWidth="1"/>
    <col min="10763" max="11006" width="9.125" style="1"/>
    <col min="11007" max="11007" width="48" style="1" bestFit="1" customWidth="1"/>
    <col min="11008" max="11008" width="21.875" style="1" bestFit="1" customWidth="1"/>
    <col min="11009" max="11009" width="15.75" style="1" customWidth="1"/>
    <col min="11010" max="11010" width="44.75" style="1" bestFit="1" customWidth="1"/>
    <col min="11011" max="11013" width="15.75" style="1" customWidth="1"/>
    <col min="11014" max="11014" width="14.875" style="1" bestFit="1" customWidth="1"/>
    <col min="11015" max="11015" width="14.875" style="1" customWidth="1"/>
    <col min="11016" max="11016" width="14.75" style="1" bestFit="1" customWidth="1"/>
    <col min="11017" max="11017" width="11.25" style="1" bestFit="1" customWidth="1"/>
    <col min="11018" max="11018" width="32.75" style="1" customWidth="1"/>
    <col min="11019" max="11262" width="9.125" style="1"/>
    <col min="11263" max="11263" width="48" style="1" bestFit="1" customWidth="1"/>
    <col min="11264" max="11264" width="21.875" style="1" bestFit="1" customWidth="1"/>
    <col min="11265" max="11265" width="15.75" style="1" customWidth="1"/>
    <col min="11266" max="11266" width="44.75" style="1" bestFit="1" customWidth="1"/>
    <col min="11267" max="11269" width="15.75" style="1" customWidth="1"/>
    <col min="11270" max="11270" width="14.875" style="1" bestFit="1" customWidth="1"/>
    <col min="11271" max="11271" width="14.875" style="1" customWidth="1"/>
    <col min="11272" max="11272" width="14.75" style="1" bestFit="1" customWidth="1"/>
    <col min="11273" max="11273" width="11.25" style="1" bestFit="1" customWidth="1"/>
    <col min="11274" max="11274" width="32.75" style="1" customWidth="1"/>
    <col min="11275" max="11518" width="9.125" style="1"/>
    <col min="11519" max="11519" width="48" style="1" bestFit="1" customWidth="1"/>
    <col min="11520" max="11520" width="21.875" style="1" bestFit="1" customWidth="1"/>
    <col min="11521" max="11521" width="15.75" style="1" customWidth="1"/>
    <col min="11522" max="11522" width="44.75" style="1" bestFit="1" customWidth="1"/>
    <col min="11523" max="11525" width="15.75" style="1" customWidth="1"/>
    <col min="11526" max="11526" width="14.875" style="1" bestFit="1" customWidth="1"/>
    <col min="11527" max="11527" width="14.875" style="1" customWidth="1"/>
    <col min="11528" max="11528" width="14.75" style="1" bestFit="1" customWidth="1"/>
    <col min="11529" max="11529" width="11.25" style="1" bestFit="1" customWidth="1"/>
    <col min="11530" max="11530" width="32.75" style="1" customWidth="1"/>
    <col min="11531" max="11774" width="9.125" style="1"/>
    <col min="11775" max="11775" width="48" style="1" bestFit="1" customWidth="1"/>
    <col min="11776" max="11776" width="21.875" style="1" bestFit="1" customWidth="1"/>
    <col min="11777" max="11777" width="15.75" style="1" customWidth="1"/>
    <col min="11778" max="11778" width="44.75" style="1" bestFit="1" customWidth="1"/>
    <col min="11779" max="11781" width="15.75" style="1" customWidth="1"/>
    <col min="11782" max="11782" width="14.875" style="1" bestFit="1" customWidth="1"/>
    <col min="11783" max="11783" width="14.875" style="1" customWidth="1"/>
    <col min="11784" max="11784" width="14.75" style="1" bestFit="1" customWidth="1"/>
    <col min="11785" max="11785" width="11.25" style="1" bestFit="1" customWidth="1"/>
    <col min="11786" max="11786" width="32.75" style="1" customWidth="1"/>
    <col min="11787" max="12030" width="9.125" style="1"/>
    <col min="12031" max="12031" width="48" style="1" bestFit="1" customWidth="1"/>
    <col min="12032" max="12032" width="21.875" style="1" bestFit="1" customWidth="1"/>
    <col min="12033" max="12033" width="15.75" style="1" customWidth="1"/>
    <col min="12034" max="12034" width="44.75" style="1" bestFit="1" customWidth="1"/>
    <col min="12035" max="12037" width="15.75" style="1" customWidth="1"/>
    <col min="12038" max="12038" width="14.875" style="1" bestFit="1" customWidth="1"/>
    <col min="12039" max="12039" width="14.875" style="1" customWidth="1"/>
    <col min="12040" max="12040" width="14.75" style="1" bestFit="1" customWidth="1"/>
    <col min="12041" max="12041" width="11.25" style="1" bestFit="1" customWidth="1"/>
    <col min="12042" max="12042" width="32.75" style="1" customWidth="1"/>
    <col min="12043" max="12286" width="9.125" style="1"/>
    <col min="12287" max="12287" width="48" style="1" bestFit="1" customWidth="1"/>
    <col min="12288" max="12288" width="21.875" style="1" bestFit="1" customWidth="1"/>
    <col min="12289" max="12289" width="15.75" style="1" customWidth="1"/>
    <col min="12290" max="12290" width="44.75" style="1" bestFit="1" customWidth="1"/>
    <col min="12291" max="12293" width="15.75" style="1" customWidth="1"/>
    <col min="12294" max="12294" width="14.875" style="1" bestFit="1" customWidth="1"/>
    <col min="12295" max="12295" width="14.875" style="1" customWidth="1"/>
    <col min="12296" max="12296" width="14.75" style="1" bestFit="1" customWidth="1"/>
    <col min="12297" max="12297" width="11.25" style="1" bestFit="1" customWidth="1"/>
    <col min="12298" max="12298" width="32.75" style="1" customWidth="1"/>
    <col min="12299" max="12542" width="9.125" style="1"/>
    <col min="12543" max="12543" width="48" style="1" bestFit="1" customWidth="1"/>
    <col min="12544" max="12544" width="21.875" style="1" bestFit="1" customWidth="1"/>
    <col min="12545" max="12545" width="15.75" style="1" customWidth="1"/>
    <col min="12546" max="12546" width="44.75" style="1" bestFit="1" customWidth="1"/>
    <col min="12547" max="12549" width="15.75" style="1" customWidth="1"/>
    <col min="12550" max="12550" width="14.875" style="1" bestFit="1" customWidth="1"/>
    <col min="12551" max="12551" width="14.875" style="1" customWidth="1"/>
    <col min="12552" max="12552" width="14.75" style="1" bestFit="1" customWidth="1"/>
    <col min="12553" max="12553" width="11.25" style="1" bestFit="1" customWidth="1"/>
    <col min="12554" max="12554" width="32.75" style="1" customWidth="1"/>
    <col min="12555" max="12798" width="9.125" style="1"/>
    <col min="12799" max="12799" width="48" style="1" bestFit="1" customWidth="1"/>
    <col min="12800" max="12800" width="21.875" style="1" bestFit="1" customWidth="1"/>
    <col min="12801" max="12801" width="15.75" style="1" customWidth="1"/>
    <col min="12802" max="12802" width="44.75" style="1" bestFit="1" customWidth="1"/>
    <col min="12803" max="12805" width="15.75" style="1" customWidth="1"/>
    <col min="12806" max="12806" width="14.875" style="1" bestFit="1" customWidth="1"/>
    <col min="12807" max="12807" width="14.875" style="1" customWidth="1"/>
    <col min="12808" max="12808" width="14.75" style="1" bestFit="1" customWidth="1"/>
    <col min="12809" max="12809" width="11.25" style="1" bestFit="1" customWidth="1"/>
    <col min="12810" max="12810" width="32.75" style="1" customWidth="1"/>
    <col min="12811" max="13054" width="9.125" style="1"/>
    <col min="13055" max="13055" width="48" style="1" bestFit="1" customWidth="1"/>
    <col min="13056" max="13056" width="21.875" style="1" bestFit="1" customWidth="1"/>
    <col min="13057" max="13057" width="15.75" style="1" customWidth="1"/>
    <col min="13058" max="13058" width="44.75" style="1" bestFit="1" customWidth="1"/>
    <col min="13059" max="13061" width="15.75" style="1" customWidth="1"/>
    <col min="13062" max="13062" width="14.875" style="1" bestFit="1" customWidth="1"/>
    <col min="13063" max="13063" width="14.875" style="1" customWidth="1"/>
    <col min="13064" max="13064" width="14.75" style="1" bestFit="1" customWidth="1"/>
    <col min="13065" max="13065" width="11.25" style="1" bestFit="1" customWidth="1"/>
    <col min="13066" max="13066" width="32.75" style="1" customWidth="1"/>
    <col min="13067" max="13310" width="9.125" style="1"/>
    <col min="13311" max="13311" width="48" style="1" bestFit="1" customWidth="1"/>
    <col min="13312" max="13312" width="21.875" style="1" bestFit="1" customWidth="1"/>
    <col min="13313" max="13313" width="15.75" style="1" customWidth="1"/>
    <col min="13314" max="13314" width="44.75" style="1" bestFit="1" customWidth="1"/>
    <col min="13315" max="13317" width="15.75" style="1" customWidth="1"/>
    <col min="13318" max="13318" width="14.875" style="1" bestFit="1" customWidth="1"/>
    <col min="13319" max="13319" width="14.875" style="1" customWidth="1"/>
    <col min="13320" max="13320" width="14.75" style="1" bestFit="1" customWidth="1"/>
    <col min="13321" max="13321" width="11.25" style="1" bestFit="1" customWidth="1"/>
    <col min="13322" max="13322" width="32.75" style="1" customWidth="1"/>
    <col min="13323" max="13566" width="9.125" style="1"/>
    <col min="13567" max="13567" width="48" style="1" bestFit="1" customWidth="1"/>
    <col min="13568" max="13568" width="21.875" style="1" bestFit="1" customWidth="1"/>
    <col min="13569" max="13569" width="15.75" style="1" customWidth="1"/>
    <col min="13570" max="13570" width="44.75" style="1" bestFit="1" customWidth="1"/>
    <col min="13571" max="13573" width="15.75" style="1" customWidth="1"/>
    <col min="13574" max="13574" width="14.875" style="1" bestFit="1" customWidth="1"/>
    <col min="13575" max="13575" width="14.875" style="1" customWidth="1"/>
    <col min="13576" max="13576" width="14.75" style="1" bestFit="1" customWidth="1"/>
    <col min="13577" max="13577" width="11.25" style="1" bestFit="1" customWidth="1"/>
    <col min="13578" max="13578" width="32.75" style="1" customWidth="1"/>
    <col min="13579" max="13822" width="9.125" style="1"/>
    <col min="13823" max="13823" width="48" style="1" bestFit="1" customWidth="1"/>
    <col min="13824" max="13824" width="21.875" style="1" bestFit="1" customWidth="1"/>
    <col min="13825" max="13825" width="15.75" style="1" customWidth="1"/>
    <col min="13826" max="13826" width="44.75" style="1" bestFit="1" customWidth="1"/>
    <col min="13827" max="13829" width="15.75" style="1" customWidth="1"/>
    <col min="13830" max="13830" width="14.875" style="1" bestFit="1" customWidth="1"/>
    <col min="13831" max="13831" width="14.875" style="1" customWidth="1"/>
    <col min="13832" max="13832" width="14.75" style="1" bestFit="1" customWidth="1"/>
    <col min="13833" max="13833" width="11.25" style="1" bestFit="1" customWidth="1"/>
    <col min="13834" max="13834" width="32.75" style="1" customWidth="1"/>
    <col min="13835" max="14078" width="9.125" style="1"/>
    <col min="14079" max="14079" width="48" style="1" bestFit="1" customWidth="1"/>
    <col min="14080" max="14080" width="21.875" style="1" bestFit="1" customWidth="1"/>
    <col min="14081" max="14081" width="15.75" style="1" customWidth="1"/>
    <col min="14082" max="14082" width="44.75" style="1" bestFit="1" customWidth="1"/>
    <col min="14083" max="14085" width="15.75" style="1" customWidth="1"/>
    <col min="14086" max="14086" width="14.875" style="1" bestFit="1" customWidth="1"/>
    <col min="14087" max="14087" width="14.875" style="1" customWidth="1"/>
    <col min="14088" max="14088" width="14.75" style="1" bestFit="1" customWidth="1"/>
    <col min="14089" max="14089" width="11.25" style="1" bestFit="1" customWidth="1"/>
    <col min="14090" max="14090" width="32.75" style="1" customWidth="1"/>
    <col min="14091" max="14334" width="9.125" style="1"/>
    <col min="14335" max="14335" width="48" style="1" bestFit="1" customWidth="1"/>
    <col min="14336" max="14336" width="21.875" style="1" bestFit="1" customWidth="1"/>
    <col min="14337" max="14337" width="15.75" style="1" customWidth="1"/>
    <col min="14338" max="14338" width="44.75" style="1" bestFit="1" customWidth="1"/>
    <col min="14339" max="14341" width="15.75" style="1" customWidth="1"/>
    <col min="14342" max="14342" width="14.875" style="1" bestFit="1" customWidth="1"/>
    <col min="14343" max="14343" width="14.875" style="1" customWidth="1"/>
    <col min="14344" max="14344" width="14.75" style="1" bestFit="1" customWidth="1"/>
    <col min="14345" max="14345" width="11.25" style="1" bestFit="1" customWidth="1"/>
    <col min="14346" max="14346" width="32.75" style="1" customWidth="1"/>
    <col min="14347" max="14590" width="9.125" style="1"/>
    <col min="14591" max="14591" width="48" style="1" bestFit="1" customWidth="1"/>
    <col min="14592" max="14592" width="21.875" style="1" bestFit="1" customWidth="1"/>
    <col min="14593" max="14593" width="15.75" style="1" customWidth="1"/>
    <col min="14594" max="14594" width="44.75" style="1" bestFit="1" customWidth="1"/>
    <col min="14595" max="14597" width="15.75" style="1" customWidth="1"/>
    <col min="14598" max="14598" width="14.875" style="1" bestFit="1" customWidth="1"/>
    <col min="14599" max="14599" width="14.875" style="1" customWidth="1"/>
    <col min="14600" max="14600" width="14.75" style="1" bestFit="1" customWidth="1"/>
    <col min="14601" max="14601" width="11.25" style="1" bestFit="1" customWidth="1"/>
    <col min="14602" max="14602" width="32.75" style="1" customWidth="1"/>
    <col min="14603" max="14846" width="9.125" style="1"/>
    <col min="14847" max="14847" width="48" style="1" bestFit="1" customWidth="1"/>
    <col min="14848" max="14848" width="21.875" style="1" bestFit="1" customWidth="1"/>
    <col min="14849" max="14849" width="15.75" style="1" customWidth="1"/>
    <col min="14850" max="14850" width="44.75" style="1" bestFit="1" customWidth="1"/>
    <col min="14851" max="14853" width="15.75" style="1" customWidth="1"/>
    <col min="14854" max="14854" width="14.875" style="1" bestFit="1" customWidth="1"/>
    <col min="14855" max="14855" width="14.875" style="1" customWidth="1"/>
    <col min="14856" max="14856" width="14.75" style="1" bestFit="1" customWidth="1"/>
    <col min="14857" max="14857" width="11.25" style="1" bestFit="1" customWidth="1"/>
    <col min="14858" max="14858" width="32.75" style="1" customWidth="1"/>
    <col min="14859" max="15102" width="9.125" style="1"/>
    <col min="15103" max="15103" width="48" style="1" bestFit="1" customWidth="1"/>
    <col min="15104" max="15104" width="21.875" style="1" bestFit="1" customWidth="1"/>
    <col min="15105" max="15105" width="15.75" style="1" customWidth="1"/>
    <col min="15106" max="15106" width="44.75" style="1" bestFit="1" customWidth="1"/>
    <col min="15107" max="15109" width="15.75" style="1" customWidth="1"/>
    <col min="15110" max="15110" width="14.875" style="1" bestFit="1" customWidth="1"/>
    <col min="15111" max="15111" width="14.875" style="1" customWidth="1"/>
    <col min="15112" max="15112" width="14.75" style="1" bestFit="1" customWidth="1"/>
    <col min="15113" max="15113" width="11.25" style="1" bestFit="1" customWidth="1"/>
    <col min="15114" max="15114" width="32.75" style="1" customWidth="1"/>
    <col min="15115" max="15358" width="9.125" style="1"/>
    <col min="15359" max="15359" width="48" style="1" bestFit="1" customWidth="1"/>
    <col min="15360" max="15360" width="21.875" style="1" bestFit="1" customWidth="1"/>
    <col min="15361" max="15361" width="15.75" style="1" customWidth="1"/>
    <col min="15362" max="15362" width="44.75" style="1" bestFit="1" customWidth="1"/>
    <col min="15363" max="15365" width="15.75" style="1" customWidth="1"/>
    <col min="15366" max="15366" width="14.875" style="1" bestFit="1" customWidth="1"/>
    <col min="15367" max="15367" width="14.875" style="1" customWidth="1"/>
    <col min="15368" max="15368" width="14.75" style="1" bestFit="1" customWidth="1"/>
    <col min="15369" max="15369" width="11.25" style="1" bestFit="1" customWidth="1"/>
    <col min="15370" max="15370" width="32.75" style="1" customWidth="1"/>
    <col min="15371" max="15614" width="9.125" style="1"/>
    <col min="15615" max="15615" width="48" style="1" bestFit="1" customWidth="1"/>
    <col min="15616" max="15616" width="21.875" style="1" bestFit="1" customWidth="1"/>
    <col min="15617" max="15617" width="15.75" style="1" customWidth="1"/>
    <col min="15618" max="15618" width="44.75" style="1" bestFit="1" customWidth="1"/>
    <col min="15619" max="15621" width="15.75" style="1" customWidth="1"/>
    <col min="15622" max="15622" width="14.875" style="1" bestFit="1" customWidth="1"/>
    <col min="15623" max="15623" width="14.875" style="1" customWidth="1"/>
    <col min="15624" max="15624" width="14.75" style="1" bestFit="1" customWidth="1"/>
    <col min="15625" max="15625" width="11.25" style="1" bestFit="1" customWidth="1"/>
    <col min="15626" max="15626" width="32.75" style="1" customWidth="1"/>
    <col min="15627" max="15870" width="9.125" style="1"/>
    <col min="15871" max="15871" width="48" style="1" bestFit="1" customWidth="1"/>
    <col min="15872" max="15872" width="21.875" style="1" bestFit="1" customWidth="1"/>
    <col min="15873" max="15873" width="15.75" style="1" customWidth="1"/>
    <col min="15874" max="15874" width="44.75" style="1" bestFit="1" customWidth="1"/>
    <col min="15875" max="15877" width="15.75" style="1" customWidth="1"/>
    <col min="15878" max="15878" width="14.875" style="1" bestFit="1" customWidth="1"/>
    <col min="15879" max="15879" width="14.875" style="1" customWidth="1"/>
    <col min="15880" max="15880" width="14.75" style="1" bestFit="1" customWidth="1"/>
    <col min="15881" max="15881" width="11.25" style="1" bestFit="1" customWidth="1"/>
    <col min="15882" max="15882" width="32.75" style="1" customWidth="1"/>
    <col min="15883" max="16126" width="9.125" style="1"/>
    <col min="16127" max="16127" width="48" style="1" bestFit="1" customWidth="1"/>
    <col min="16128" max="16128" width="21.875" style="1" bestFit="1" customWidth="1"/>
    <col min="16129" max="16129" width="15.75" style="1" customWidth="1"/>
    <col min="16130" max="16130" width="44.75" style="1" bestFit="1" customWidth="1"/>
    <col min="16131" max="16133" width="15.75" style="1" customWidth="1"/>
    <col min="16134" max="16134" width="14.875" style="1" bestFit="1" customWidth="1"/>
    <col min="16135" max="16135" width="14.875" style="1" customWidth="1"/>
    <col min="16136" max="16136" width="14.75" style="1" bestFit="1" customWidth="1"/>
    <col min="16137" max="16137" width="11.25" style="1" bestFit="1" customWidth="1"/>
    <col min="16138" max="16138" width="32.75" style="1" customWidth="1"/>
    <col min="16139" max="16382" width="9.125" style="1"/>
    <col min="16383" max="16384" width="9.125" style="1" customWidth="1"/>
  </cols>
  <sheetData>
    <row r="1" spans="1:63" ht="20.25" thickBot="1">
      <c r="A1" s="57" t="s">
        <v>0</v>
      </c>
      <c r="B1" s="58"/>
      <c r="C1" s="58"/>
      <c r="D1" s="58"/>
      <c r="E1" s="58"/>
      <c r="F1" s="58"/>
      <c r="G1" s="59"/>
      <c r="H1"/>
    </row>
    <row r="2" spans="1:63" ht="15" thickBot="1">
      <c r="H2"/>
    </row>
    <row r="3" spans="1:63" ht="19.5">
      <c r="A3" s="54" t="s">
        <v>1</v>
      </c>
      <c r="B3" s="55"/>
      <c r="C3" s="55"/>
      <c r="D3" s="55"/>
      <c r="E3" s="55"/>
      <c r="F3" s="55"/>
      <c r="G3" s="56"/>
      <c r="H3"/>
    </row>
    <row r="4" spans="1:63">
      <c r="A4" s="3" t="s">
        <v>2</v>
      </c>
      <c r="B4" s="4" t="s">
        <v>3</v>
      </c>
      <c r="C4" s="4" t="s">
        <v>4</v>
      </c>
      <c r="D4" s="35" t="s">
        <v>5</v>
      </c>
      <c r="E4" s="4" t="s">
        <v>6</v>
      </c>
      <c r="F4" s="4" t="s">
        <v>7</v>
      </c>
      <c r="G4" s="5" t="s">
        <v>8</v>
      </c>
      <c r="H4"/>
      <c r="BI4" s="1"/>
      <c r="BJ4" s="1"/>
      <c r="BK4" s="1"/>
    </row>
    <row r="5" spans="1:63" s="6" customFormat="1" ht="28.5">
      <c r="A5" s="28" t="s">
        <v>9</v>
      </c>
      <c r="B5" s="7" t="s">
        <v>10</v>
      </c>
      <c r="C5" s="6" t="s">
        <v>11</v>
      </c>
      <c r="D5" s="36" t="s">
        <v>12</v>
      </c>
      <c r="E5" s="60" t="s">
        <v>488</v>
      </c>
      <c r="F5" s="7">
        <v>21</v>
      </c>
      <c r="G5" s="8" t="s">
        <v>14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pans="1:63" s="6" customFormat="1">
      <c r="A6" s="28" t="s">
        <v>15</v>
      </c>
      <c r="B6" s="7" t="s">
        <v>16</v>
      </c>
      <c r="C6" s="6" t="s">
        <v>17</v>
      </c>
      <c r="D6" s="36" t="s">
        <v>12</v>
      </c>
      <c r="E6" s="7" t="s">
        <v>13</v>
      </c>
      <c r="F6" s="7">
        <v>22</v>
      </c>
      <c r="G6" s="8" t="s">
        <v>14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</row>
    <row r="7" spans="1:63" s="6" customFormat="1">
      <c r="A7" s="28" t="s">
        <v>18</v>
      </c>
      <c r="B7" s="7" t="s">
        <v>19</v>
      </c>
      <c r="C7" s="6" t="s">
        <v>20</v>
      </c>
      <c r="D7" s="36" t="s">
        <v>12</v>
      </c>
      <c r="E7" s="7" t="s">
        <v>21</v>
      </c>
      <c r="F7" s="7">
        <v>23</v>
      </c>
      <c r="G7" s="8" t="s">
        <v>14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1:63" s="6" customFormat="1" ht="15" thickBot="1">
      <c r="A8" s="29" t="s">
        <v>22</v>
      </c>
      <c r="B8" s="10" t="s">
        <v>23</v>
      </c>
      <c r="C8" s="9" t="s">
        <v>24</v>
      </c>
      <c r="D8" s="37" t="s">
        <v>12</v>
      </c>
      <c r="E8" s="10" t="s">
        <v>13</v>
      </c>
      <c r="F8" s="10">
        <v>24</v>
      </c>
      <c r="G8" s="11" t="s">
        <v>14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pans="1:63" ht="15" thickBot="1">
      <c r="H9"/>
    </row>
    <row r="10" spans="1:63" ht="19.5">
      <c r="A10" s="54" t="s">
        <v>25</v>
      </c>
      <c r="B10" s="55"/>
      <c r="C10" s="55"/>
      <c r="D10" s="55"/>
      <c r="E10" s="55"/>
      <c r="F10" s="55"/>
      <c r="G10" s="56"/>
      <c r="H10"/>
    </row>
    <row r="11" spans="1:63">
      <c r="A11" s="3" t="s">
        <v>2</v>
      </c>
      <c r="B11" s="4" t="s">
        <v>3</v>
      </c>
      <c r="C11" s="4" t="s">
        <v>4</v>
      </c>
      <c r="D11" s="35" t="s">
        <v>5</v>
      </c>
      <c r="E11" s="4" t="s">
        <v>6</v>
      </c>
      <c r="F11" s="4" t="s">
        <v>7</v>
      </c>
      <c r="G11" s="5" t="s">
        <v>8</v>
      </c>
      <c r="H11"/>
      <c r="BI11" s="1"/>
      <c r="BJ11" s="1"/>
      <c r="BK11" s="1"/>
    </row>
    <row r="12" spans="1:63" s="6" customFormat="1">
      <c r="A12" s="28" t="s">
        <v>26</v>
      </c>
      <c r="B12" s="7" t="s">
        <v>27</v>
      </c>
      <c r="C12" s="6" t="s">
        <v>28</v>
      </c>
      <c r="D12" s="36" t="str">
        <f>VLOOKUP(B12:B47,'[1]Integration Data'!$J$53:$AC$150,18,0)</f>
        <v xml:space="preserve">255.255.248.0 </v>
      </c>
      <c r="E12" s="7" t="s">
        <v>29</v>
      </c>
      <c r="F12" s="7">
        <v>26</v>
      </c>
      <c r="G12" s="8" t="s">
        <v>30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pans="1:63" s="6" customFormat="1">
      <c r="A13" s="28" t="s">
        <v>31</v>
      </c>
      <c r="B13" s="7" t="s">
        <v>32</v>
      </c>
      <c r="C13" s="6" t="s">
        <v>33</v>
      </c>
      <c r="D13" s="36" t="str">
        <f>VLOOKUP(B13:B47,'[1]Integration Data'!$J$53:$AC$150,18,0)</f>
        <v xml:space="preserve">255.255.252.0 </v>
      </c>
      <c r="E13" s="7" t="s">
        <v>29</v>
      </c>
      <c r="F13" s="7">
        <v>17</v>
      </c>
      <c r="G13" s="8" t="s">
        <v>34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pans="1:63" s="6" customFormat="1">
      <c r="A14" s="28" t="s">
        <v>35</v>
      </c>
      <c r="B14" s="7" t="s">
        <v>36</v>
      </c>
      <c r="C14" s="6" t="s">
        <v>37</v>
      </c>
      <c r="D14" s="36" t="str">
        <f>VLOOKUP(B14:B47,'[1]Integration Data'!$J$53:$AC$150,18,0)</f>
        <v xml:space="preserve">255.255.252.0 </v>
      </c>
      <c r="E14" s="7" t="s">
        <v>29</v>
      </c>
      <c r="F14" s="7">
        <v>14</v>
      </c>
      <c r="G14" s="8" t="s">
        <v>30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pans="1:63" s="6" customFormat="1">
      <c r="A15" s="28" t="s">
        <v>38</v>
      </c>
      <c r="B15" s="7" t="s">
        <v>39</v>
      </c>
      <c r="C15" s="6" t="s">
        <v>40</v>
      </c>
      <c r="D15" s="36" t="str">
        <f>VLOOKUP(B15:B48,'[1]Integration Data'!$J$53:$AC$150,18,0)</f>
        <v xml:space="preserve">255.255.248.0 </v>
      </c>
      <c r="E15" s="7" t="s">
        <v>29</v>
      </c>
      <c r="F15" s="7">
        <v>29</v>
      </c>
      <c r="G15" s="8" t="s">
        <v>34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pans="1:63" s="6" customFormat="1">
      <c r="A16" s="28" t="s">
        <v>41</v>
      </c>
      <c r="B16" s="7" t="s">
        <v>42</v>
      </c>
      <c r="C16" s="6" t="s">
        <v>43</v>
      </c>
      <c r="D16" s="36" t="str">
        <f>VLOOKUP(B16:B125,'[1]Integration Data'!$J$53:$AC$150,18,0)</f>
        <v xml:space="preserve">255.255.252.0 </v>
      </c>
      <c r="E16" s="7" t="s">
        <v>29</v>
      </c>
      <c r="F16" s="7">
        <v>141</v>
      </c>
      <c r="G16" s="8" t="s">
        <v>34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pans="1:60" s="6" customFormat="1">
      <c r="A17" s="28" t="s">
        <v>44</v>
      </c>
      <c r="B17" s="7" t="s">
        <v>45</v>
      </c>
      <c r="C17" s="6" t="s">
        <v>46</v>
      </c>
      <c r="D17" s="36" t="str">
        <f>VLOOKUP(B17:B126,'[1]Integration Data'!$J$53:$AC$150,18,0)</f>
        <v xml:space="preserve">255.255.252.0 </v>
      </c>
      <c r="E17" s="7" t="s">
        <v>29</v>
      </c>
      <c r="F17" s="7">
        <v>33</v>
      </c>
      <c r="G17" s="8" t="s">
        <v>34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 s="6" customFormat="1">
      <c r="A18" s="28" t="s">
        <v>47</v>
      </c>
      <c r="B18" s="7" t="s">
        <v>48</v>
      </c>
      <c r="C18" s="6" t="s">
        <v>49</v>
      </c>
      <c r="D18" s="36" t="str">
        <f>VLOOKUP(B18:B127,'[1]Integration Data'!$J$53:$AC$150,18,0)</f>
        <v xml:space="preserve">255.255.252.0 </v>
      </c>
      <c r="E18" s="7" t="s">
        <v>29</v>
      </c>
      <c r="F18" s="7">
        <v>111</v>
      </c>
      <c r="G18" s="8" t="s">
        <v>30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s="6" customFormat="1">
      <c r="A19" s="28" t="s">
        <v>50</v>
      </c>
      <c r="B19" s="7" t="s">
        <v>51</v>
      </c>
      <c r="C19" s="6" t="s">
        <v>52</v>
      </c>
      <c r="D19" s="36" t="str">
        <f>VLOOKUP(B19:B128,'[1]Integration Data'!$J$53:$AC$150,18,0)</f>
        <v xml:space="preserve">255.255.248.0 </v>
      </c>
      <c r="E19" s="7" t="s">
        <v>29</v>
      </c>
      <c r="F19" s="7">
        <v>139</v>
      </c>
      <c r="G19" s="8" t="s">
        <v>34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s="6" customFormat="1">
      <c r="A20" s="28" t="s">
        <v>53</v>
      </c>
      <c r="B20" s="7" t="s">
        <v>54</v>
      </c>
      <c r="C20" s="6" t="s">
        <v>55</v>
      </c>
      <c r="D20" s="36" t="str">
        <f>VLOOKUP(B20:B129,'[1]Integration Data'!$J$53:$AC$150,18,0)</f>
        <v xml:space="preserve">255.255.248.0 </v>
      </c>
      <c r="E20" s="7" t="s">
        <v>29</v>
      </c>
      <c r="F20" s="7">
        <v>99</v>
      </c>
      <c r="G20" s="8" t="s">
        <v>34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s="6" customFormat="1">
      <c r="A21" s="28" t="s">
        <v>56</v>
      </c>
      <c r="B21" s="7" t="s">
        <v>57</v>
      </c>
      <c r="C21" s="6" t="s">
        <v>58</v>
      </c>
      <c r="D21" s="36" t="str">
        <f>VLOOKUP(B21:B132,'[1]Integration Data'!$J$53:$AC$150,18,0)</f>
        <v xml:space="preserve">255.255.248.0 </v>
      </c>
      <c r="E21" s="7" t="s">
        <v>29</v>
      </c>
      <c r="F21" s="7">
        <v>35</v>
      </c>
      <c r="G21" s="8" t="s">
        <v>59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s="6" customFormat="1">
      <c r="A22" s="28" t="s">
        <v>60</v>
      </c>
      <c r="B22" s="7" t="s">
        <v>61</v>
      </c>
      <c r="C22" s="6" t="s">
        <v>62</v>
      </c>
      <c r="D22" s="36" t="str">
        <f>VLOOKUP(B22:B133,'[1]Integration Data'!$J$53:$AC$150,18,0)</f>
        <v xml:space="preserve">255.255.248.0 </v>
      </c>
      <c r="E22" s="7" t="s">
        <v>29</v>
      </c>
      <c r="F22" s="7">
        <v>38</v>
      </c>
      <c r="G22" s="8" t="s">
        <v>63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s="6" customFormat="1">
      <c r="A23" s="28" t="s">
        <v>64</v>
      </c>
      <c r="B23" s="7" t="s">
        <v>65</v>
      </c>
      <c r="C23" s="6" t="s">
        <v>66</v>
      </c>
      <c r="D23" s="36" t="str">
        <f>VLOOKUP(B23:B134,'[1]Integration Data'!$J$53:$AC$150,18,0)</f>
        <v xml:space="preserve">255.255.248.0 </v>
      </c>
      <c r="E23" s="7" t="s">
        <v>29</v>
      </c>
      <c r="F23" s="7">
        <v>41</v>
      </c>
      <c r="G23" s="8" t="s">
        <v>67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s="6" customFormat="1">
      <c r="A24" s="28" t="s">
        <v>68</v>
      </c>
      <c r="B24" s="7" t="s">
        <v>69</v>
      </c>
      <c r="C24" s="6" t="s">
        <v>70</v>
      </c>
      <c r="D24" s="36" t="str">
        <f>VLOOKUP(B24:B135,'[1]Integration Data'!$J$53:$AC$150,18,0)</f>
        <v xml:space="preserve">255.255.248.0 </v>
      </c>
      <c r="E24" s="7" t="s">
        <v>29</v>
      </c>
      <c r="F24" s="7">
        <v>43</v>
      </c>
      <c r="G24" s="8" t="s">
        <v>71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pans="1:60" s="6" customFormat="1">
      <c r="A25" s="28" t="s">
        <v>72</v>
      </c>
      <c r="B25" s="7" t="s">
        <v>73</v>
      </c>
      <c r="C25" s="6" t="s">
        <v>74</v>
      </c>
      <c r="D25" s="36" t="str">
        <f>VLOOKUP(B25:B136,'[1]Integration Data'!$J$53:$AC$150,18,0)</f>
        <v xml:space="preserve">255.255.248.0 </v>
      </c>
      <c r="E25" s="7" t="s">
        <v>29</v>
      </c>
      <c r="F25" s="7">
        <v>48</v>
      </c>
      <c r="G25" s="8" t="s">
        <v>75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s="6" customFormat="1">
      <c r="A26" s="28" t="s">
        <v>76</v>
      </c>
      <c r="B26" s="7" t="s">
        <v>77</v>
      </c>
      <c r="C26" s="6" t="s">
        <v>78</v>
      </c>
      <c r="D26" s="36" t="str">
        <f>VLOOKUP(B26:B137,'[1]Integration Data'!$J$53:$AC$150,18,0)</f>
        <v xml:space="preserve">255.255.248.0 </v>
      </c>
      <c r="E26" s="7" t="s">
        <v>29</v>
      </c>
      <c r="F26" s="7">
        <v>51</v>
      </c>
      <c r="G26" s="8" t="s">
        <v>79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s="6" customFormat="1">
      <c r="A27" s="28" t="s">
        <v>80</v>
      </c>
      <c r="B27" s="7" t="s">
        <v>81</v>
      </c>
      <c r="C27" s="6" t="s">
        <v>82</v>
      </c>
      <c r="D27" s="36" t="str">
        <f>VLOOKUP(B27:B138,'[1]Integration Data'!$J$53:$AC$150,18,0)</f>
        <v xml:space="preserve">255.255.248.0 </v>
      </c>
      <c r="E27" s="7" t="s">
        <v>29</v>
      </c>
      <c r="F27" s="7">
        <v>53</v>
      </c>
      <c r="G27" s="8" t="s">
        <v>83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60" s="6" customFormat="1">
      <c r="A28" s="28" t="s">
        <v>84</v>
      </c>
      <c r="B28" s="7" t="s">
        <v>85</v>
      </c>
      <c r="C28" s="6" t="s">
        <v>86</v>
      </c>
      <c r="D28" s="36" t="str">
        <f>VLOOKUP(B28:B139,'[1]Integration Data'!$J$53:$AC$150,18,0)</f>
        <v xml:space="preserve">255.255.248.0 </v>
      </c>
      <c r="E28" s="7" t="s">
        <v>29</v>
      </c>
      <c r="F28" s="7">
        <v>54</v>
      </c>
      <c r="G28" s="8" t="s">
        <v>87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pans="1:60" s="6" customFormat="1">
      <c r="A29" s="28" t="s">
        <v>88</v>
      </c>
      <c r="B29" s="7" t="s">
        <v>89</v>
      </c>
      <c r="C29" s="6" t="s">
        <v>90</v>
      </c>
      <c r="D29" s="36" t="str">
        <f>VLOOKUP(B29:B140,'[1]Integration Data'!$J$53:$AC$150,18,0)</f>
        <v xml:space="preserve">255.255.248.0 </v>
      </c>
      <c r="E29" s="7" t="s">
        <v>29</v>
      </c>
      <c r="F29" s="7">
        <v>36</v>
      </c>
      <c r="G29" s="8" t="s">
        <v>59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s="6" customFormat="1">
      <c r="A30" s="28" t="s">
        <v>91</v>
      </c>
      <c r="B30" s="7" t="s">
        <v>92</v>
      </c>
      <c r="C30" s="6" t="s">
        <v>93</v>
      </c>
      <c r="D30" s="36" t="str">
        <f>VLOOKUP(B30:B141,'[1]Integration Data'!$J$53:$AC$150,18,0)</f>
        <v xml:space="preserve">255.255.252.0 </v>
      </c>
      <c r="E30" s="7" t="s">
        <v>29</v>
      </c>
      <c r="F30" s="7">
        <v>137</v>
      </c>
      <c r="G30" s="8" t="s">
        <v>59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s="6" customFormat="1">
      <c r="A31" s="28" t="s">
        <v>94</v>
      </c>
      <c r="B31" s="7" t="s">
        <v>95</v>
      </c>
      <c r="C31" s="6" t="s">
        <v>96</v>
      </c>
      <c r="D31" s="36" t="str">
        <f>VLOOKUP(B31:B142,'[1]Integration Data'!$J$53:$AC$150,18,0)</f>
        <v xml:space="preserve">255.255.252.0 </v>
      </c>
      <c r="E31" s="7" t="s">
        <v>29</v>
      </c>
      <c r="F31" s="7">
        <v>39</v>
      </c>
      <c r="G31" s="8" t="s">
        <v>63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s="6" customFormat="1">
      <c r="A32" s="28" t="s">
        <v>97</v>
      </c>
      <c r="B32" s="7" t="s">
        <v>98</v>
      </c>
      <c r="C32" s="6" t="s">
        <v>99</v>
      </c>
      <c r="D32" s="36" t="str">
        <f>VLOOKUP(B32:B143,'[1]Integration Data'!$J$53:$AC$150,18,0)</f>
        <v xml:space="preserve">255.255.252.0 </v>
      </c>
      <c r="E32" s="7" t="s">
        <v>29</v>
      </c>
      <c r="F32" s="7">
        <v>40</v>
      </c>
      <c r="G32" s="8" t="s">
        <v>63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1:60" s="6" customFormat="1">
      <c r="A33" s="28" t="s">
        <v>100</v>
      </c>
      <c r="B33" s="7" t="s">
        <v>101</v>
      </c>
      <c r="C33" s="6" t="s">
        <v>102</v>
      </c>
      <c r="D33" s="36" t="str">
        <f>VLOOKUP(B33:B143,'[1]Integration Data'!$J$53:$AC$150,18,0)</f>
        <v xml:space="preserve">255.255.248.0 </v>
      </c>
      <c r="E33" s="7" t="s">
        <v>29</v>
      </c>
      <c r="F33" s="7">
        <v>98</v>
      </c>
      <c r="G33" s="8" t="s">
        <v>67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pans="1:60" s="6" customFormat="1">
      <c r="A34" s="28" t="s">
        <v>103</v>
      </c>
      <c r="B34" s="7" t="s">
        <v>104</v>
      </c>
      <c r="C34" s="6" t="s">
        <v>105</v>
      </c>
      <c r="D34" s="36" t="str">
        <f>VLOOKUP(B34:B143,'[1]Integration Data'!$J$53:$AC$150,18,0)</f>
        <v xml:space="preserve">255.255.252.0 </v>
      </c>
      <c r="E34" s="7" t="s">
        <v>29</v>
      </c>
      <c r="F34" s="7">
        <v>45</v>
      </c>
      <c r="G34" s="8" t="s">
        <v>67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</row>
    <row r="35" spans="1:60" s="6" customFormat="1">
      <c r="A35" s="28" t="s">
        <v>106</v>
      </c>
      <c r="B35" s="7" t="s">
        <v>107</v>
      </c>
      <c r="C35" s="6" t="s">
        <v>108</v>
      </c>
      <c r="D35" s="36" t="str">
        <f>VLOOKUP(B35:B143,'[1]Integration Data'!$J$53:$AC$150,18,0)</f>
        <v xml:space="preserve">255.255.252.0 </v>
      </c>
      <c r="E35" s="7" t="s">
        <v>29</v>
      </c>
      <c r="F35" s="7">
        <v>47</v>
      </c>
      <c r="G35" s="8" t="s">
        <v>71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  <row r="36" spans="1:60" s="6" customFormat="1">
      <c r="A36" s="28" t="s">
        <v>109</v>
      </c>
      <c r="B36" s="7" t="s">
        <v>110</v>
      </c>
      <c r="C36" s="6" t="s">
        <v>111</v>
      </c>
      <c r="D36" s="36" t="str">
        <f>VLOOKUP(B36:B143,'[1]Integration Data'!$J$53:$AC$150,18,0)</f>
        <v xml:space="preserve">255.255.252.0 </v>
      </c>
      <c r="E36" s="7" t="s">
        <v>29</v>
      </c>
      <c r="F36" s="7">
        <v>150</v>
      </c>
      <c r="G36" s="8" t="s">
        <v>71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</row>
    <row r="37" spans="1:60" s="6" customFormat="1">
      <c r="A37" s="28" t="s">
        <v>112</v>
      </c>
      <c r="B37" s="7" t="s">
        <v>113</v>
      </c>
      <c r="C37" s="6" t="s">
        <v>114</v>
      </c>
      <c r="D37" s="36" t="str">
        <f>VLOOKUP(B37:B143,'[1]Integration Data'!$J$53:$AC$150,18,0)</f>
        <v xml:space="preserve">255.255.252.0 </v>
      </c>
      <c r="E37" s="7" t="s">
        <v>29</v>
      </c>
      <c r="F37" s="7">
        <v>97</v>
      </c>
      <c r="G37" s="8" t="s">
        <v>71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1:60" s="6" customFormat="1">
      <c r="A38" s="28" t="s">
        <v>115</v>
      </c>
      <c r="B38" s="7" t="s">
        <v>440</v>
      </c>
      <c r="C38" s="6" t="s">
        <v>116</v>
      </c>
      <c r="D38" s="36" t="str">
        <f>VLOOKUP(B38:B143,'[1]Integration Data'!$J$53:$AC$150,18,0)</f>
        <v xml:space="preserve">255.255.252.0 </v>
      </c>
      <c r="E38" s="7" t="s">
        <v>29</v>
      </c>
      <c r="F38" s="7">
        <v>102</v>
      </c>
      <c r="G38" s="8" t="s">
        <v>71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</row>
    <row r="39" spans="1:60" s="6" customFormat="1">
      <c r="A39" s="28" t="s">
        <v>117</v>
      </c>
      <c r="B39" s="7" t="s">
        <v>118</v>
      </c>
      <c r="C39" s="6" t="s">
        <v>119</v>
      </c>
      <c r="D39" s="36" t="str">
        <f>VLOOKUP(B39:B144,'[1]Integration Data'!$J$53:$AC$150,18,0)</f>
        <v xml:space="preserve">255.255.252.0 </v>
      </c>
      <c r="E39" s="7" t="s">
        <v>29</v>
      </c>
      <c r="F39" s="7">
        <v>49</v>
      </c>
      <c r="G39" s="8" t="s">
        <v>75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</row>
    <row r="40" spans="1:60" s="6" customFormat="1">
      <c r="A40" s="28" t="s">
        <v>120</v>
      </c>
      <c r="B40" s="7" t="s">
        <v>121</v>
      </c>
      <c r="C40" s="6" t="s">
        <v>122</v>
      </c>
      <c r="D40" s="36" t="str">
        <f>VLOOKUP(B40:B59,'[1]Integration Data'!$J$53:$AC$150,18,0)</f>
        <v xml:space="preserve">255.255.252.0 </v>
      </c>
      <c r="E40" s="7" t="s">
        <v>29</v>
      </c>
      <c r="F40" s="7">
        <v>50</v>
      </c>
      <c r="G40" s="8" t="s">
        <v>75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</row>
    <row r="41" spans="1:60" s="6" customFormat="1">
      <c r="A41" s="28" t="s">
        <v>123</v>
      </c>
      <c r="B41" s="7" t="s">
        <v>124</v>
      </c>
      <c r="C41" s="6" t="s">
        <v>125</v>
      </c>
      <c r="D41" s="36" t="str">
        <f>VLOOKUP(B41:B60,'[1]Integration Data'!$J$53:$AC$150,18,0)</f>
        <v xml:space="preserve">255.255.252.0 </v>
      </c>
      <c r="E41" s="7" t="s">
        <v>29</v>
      </c>
      <c r="F41" s="7">
        <v>52</v>
      </c>
      <c r="G41" s="8" t="s">
        <v>79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</row>
    <row r="42" spans="1:60" s="6" customFormat="1">
      <c r="A42" s="28" t="s">
        <v>126</v>
      </c>
      <c r="B42" s="7" t="s">
        <v>127</v>
      </c>
      <c r="C42" s="6" t="s">
        <v>128</v>
      </c>
      <c r="D42" s="36" t="str">
        <f>VLOOKUP(B42:B75,'[1]Integration Data'!$J$53:$AC$150,18,0)</f>
        <v xml:space="preserve">255.255.252.0 </v>
      </c>
      <c r="E42" s="7" t="s">
        <v>29</v>
      </c>
      <c r="F42" s="7">
        <v>57</v>
      </c>
      <c r="G42" s="8" t="s">
        <v>83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</row>
    <row r="43" spans="1:60" s="6" customFormat="1">
      <c r="A43" s="28" t="s">
        <v>129</v>
      </c>
      <c r="B43" s="7" t="s">
        <v>130</v>
      </c>
      <c r="C43" s="6" t="s">
        <v>131</v>
      </c>
      <c r="D43" s="36" t="str">
        <f>VLOOKUP(B43:B76,'[1]Integration Data'!$J$53:$AC$150,18,0)</f>
        <v xml:space="preserve">255.255.252.0 </v>
      </c>
      <c r="E43" s="7" t="s">
        <v>29</v>
      </c>
      <c r="F43" s="7">
        <v>101</v>
      </c>
      <c r="G43" s="8" t="s">
        <v>83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</row>
    <row r="44" spans="1:60" s="6" customFormat="1">
      <c r="A44" s="28" t="s">
        <v>132</v>
      </c>
      <c r="B44" s="7" t="s">
        <v>133</v>
      </c>
      <c r="C44" s="6" t="s">
        <v>134</v>
      </c>
      <c r="D44" s="36" t="str">
        <f>VLOOKUP(B44:B77,'[1]Integration Data'!$J$53:$AC$150,18,0)</f>
        <v xml:space="preserve">255.255.252.0 </v>
      </c>
      <c r="E44" s="7" t="s">
        <v>29</v>
      </c>
      <c r="F44" s="7">
        <v>55</v>
      </c>
      <c r="G44" s="8" t="s">
        <v>87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pans="1:60" s="6" customFormat="1">
      <c r="A45" s="28" t="s">
        <v>135</v>
      </c>
      <c r="B45" s="7" t="s">
        <v>136</v>
      </c>
      <c r="C45" s="6" t="s">
        <v>137</v>
      </c>
      <c r="D45" s="36" t="str">
        <f>VLOOKUP(B45:B78,'[1]Integration Data'!$J$53:$AC$150,18,0)</f>
        <v xml:space="preserve">255.255.248.0 </v>
      </c>
      <c r="E45" s="7" t="s">
        <v>29</v>
      </c>
      <c r="F45" s="7">
        <v>59</v>
      </c>
      <c r="G45" s="8" t="s">
        <v>87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</row>
    <row r="46" spans="1:60" s="6" customFormat="1">
      <c r="A46" s="28" t="s">
        <v>138</v>
      </c>
      <c r="B46" s="7" t="s">
        <v>139</v>
      </c>
      <c r="C46" s="6" t="s">
        <v>445</v>
      </c>
      <c r="D46" s="36" t="str">
        <f>VLOOKUP(B46:B79,'[1]Integration Data'!$J$53:$AC$150,18,0)</f>
        <v xml:space="preserve">255.255.248.0 </v>
      </c>
      <c r="E46" s="7" t="s">
        <v>29</v>
      </c>
      <c r="F46" s="7">
        <v>198</v>
      </c>
      <c r="G46" s="8" t="s">
        <v>14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</row>
    <row r="47" spans="1:60" s="6" customFormat="1" ht="15" thickBot="1">
      <c r="A47" s="29" t="s">
        <v>141</v>
      </c>
      <c r="B47" s="10" t="s">
        <v>142</v>
      </c>
      <c r="C47" s="9" t="s">
        <v>446</v>
      </c>
      <c r="D47" s="37" t="str">
        <f>VLOOKUP(B47:B80,'[1]Integration Data'!$J$53:$AC$150,18,0)</f>
        <v xml:space="preserve">255.255.248.0 </v>
      </c>
      <c r="E47" s="10" t="s">
        <v>29</v>
      </c>
      <c r="F47" s="10">
        <v>105</v>
      </c>
      <c r="G47" s="11" t="s">
        <v>14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</row>
    <row r="48" spans="1:60" ht="15" thickBot="1">
      <c r="H48"/>
    </row>
    <row r="49" spans="1:63" ht="19.5">
      <c r="A49" s="54" t="s">
        <v>144</v>
      </c>
      <c r="B49" s="55"/>
      <c r="C49" s="55"/>
      <c r="D49" s="55"/>
      <c r="E49" s="55"/>
      <c r="F49" s="55"/>
      <c r="G49" s="56"/>
      <c r="H49"/>
    </row>
    <row r="50" spans="1:63">
      <c r="A50" s="3" t="s">
        <v>2</v>
      </c>
      <c r="B50" s="4" t="s">
        <v>3</v>
      </c>
      <c r="C50" s="4" t="s">
        <v>4</v>
      </c>
      <c r="D50" s="35" t="s">
        <v>5</v>
      </c>
      <c r="E50" s="4" t="s">
        <v>6</v>
      </c>
      <c r="F50" s="4" t="s">
        <v>7</v>
      </c>
      <c r="G50" s="5" t="s">
        <v>8</v>
      </c>
      <c r="H50"/>
      <c r="BI50" s="1"/>
      <c r="BJ50" s="1"/>
      <c r="BK50" s="1"/>
    </row>
    <row r="51" spans="1:63" s="6" customFormat="1">
      <c r="A51" s="28" t="s">
        <v>145</v>
      </c>
      <c r="B51" s="7" t="s">
        <v>146</v>
      </c>
      <c r="C51" s="6" t="s">
        <v>438</v>
      </c>
      <c r="D51" s="36" t="str">
        <f>VLOOKUP(B51:B86,'[1]Integration Data'!$J$53:$AC$150,18,0)</f>
        <v xml:space="preserve">255.255.248.0 </v>
      </c>
      <c r="E51" s="7" t="s">
        <v>13</v>
      </c>
      <c r="F51" s="7">
        <v>25</v>
      </c>
      <c r="G51" s="8" t="s">
        <v>14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pans="1:63" s="6" customFormat="1">
      <c r="A52" s="28" t="s">
        <v>480</v>
      </c>
      <c r="B52" s="7" t="s">
        <v>474</v>
      </c>
      <c r="C52" s="6" t="s">
        <v>478</v>
      </c>
      <c r="D52" s="36" t="s">
        <v>477</v>
      </c>
      <c r="E52" s="7"/>
      <c r="F52" s="7"/>
      <c r="G52" s="8" t="s">
        <v>14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1:63" s="6" customFormat="1">
      <c r="A53" s="28" t="s">
        <v>481</v>
      </c>
      <c r="B53" s="7" t="s">
        <v>475</v>
      </c>
      <c r="C53" s="6" t="s">
        <v>476</v>
      </c>
      <c r="D53" s="36" t="s">
        <v>477</v>
      </c>
      <c r="E53" s="7"/>
      <c r="F53" s="7"/>
      <c r="G53" s="8" t="s">
        <v>14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</row>
    <row r="54" spans="1:63" s="6" customFormat="1">
      <c r="A54" s="28" t="s">
        <v>147</v>
      </c>
      <c r="B54" s="7" t="s">
        <v>148</v>
      </c>
      <c r="C54" s="6" t="s">
        <v>439</v>
      </c>
      <c r="D54" s="36" t="str">
        <f>VLOOKUP(B54:B87,'[1]Integration Data'!$J$53:$AC$150,18,0)</f>
        <v xml:space="preserve">255.255.248.0 </v>
      </c>
      <c r="E54" s="7" t="s">
        <v>29</v>
      </c>
      <c r="F54" s="7">
        <v>100</v>
      </c>
      <c r="G54" s="8" t="s">
        <v>14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</row>
    <row r="55" spans="1:63">
      <c r="A55" s="28" t="s">
        <v>149</v>
      </c>
      <c r="B55" s="7" t="s">
        <v>150</v>
      </c>
      <c r="C55" s="6" t="s">
        <v>151</v>
      </c>
      <c r="D55" s="36" t="s">
        <v>12</v>
      </c>
      <c r="E55" s="7" t="s">
        <v>29</v>
      </c>
      <c r="F55" s="7">
        <v>103</v>
      </c>
      <c r="G55" s="8" t="s">
        <v>14</v>
      </c>
      <c r="H55"/>
      <c r="BI55" s="1"/>
      <c r="BJ55" s="1"/>
      <c r="BK55" s="1"/>
    </row>
    <row r="56" spans="1:63">
      <c r="A56" s="30" t="s">
        <v>152</v>
      </c>
      <c r="B56" s="7" t="s">
        <v>153</v>
      </c>
      <c r="C56" s="6" t="s">
        <v>479</v>
      </c>
      <c r="D56" s="36" t="s">
        <v>477</v>
      </c>
      <c r="E56" s="7" t="s">
        <v>29</v>
      </c>
      <c r="F56" s="7">
        <v>104</v>
      </c>
      <c r="G56" s="8" t="s">
        <v>14</v>
      </c>
      <c r="H56"/>
      <c r="BI56" s="1"/>
      <c r="BJ56" s="1"/>
      <c r="BK56" s="1"/>
    </row>
    <row r="57" spans="1:63" ht="15" thickBot="1">
      <c r="A57" s="29" t="s">
        <v>155</v>
      </c>
      <c r="B57" s="10" t="s">
        <v>156</v>
      </c>
      <c r="C57" s="9" t="s">
        <v>157</v>
      </c>
      <c r="D57" s="37" t="s">
        <v>12</v>
      </c>
      <c r="E57" s="10" t="s">
        <v>29</v>
      </c>
      <c r="F57" s="12">
        <v>220</v>
      </c>
      <c r="G57" s="11" t="s">
        <v>14</v>
      </c>
      <c r="H57"/>
      <c r="BI57" s="1"/>
      <c r="BJ57" s="1"/>
      <c r="BK57" s="1"/>
    </row>
    <row r="58" spans="1:63" ht="13.5" thickBot="1"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spans="1:63" ht="19.5">
      <c r="A59" s="54" t="s">
        <v>487</v>
      </c>
      <c r="B59" s="55"/>
      <c r="C59" s="55"/>
      <c r="D59" s="55"/>
      <c r="E59" s="55"/>
      <c r="F59" s="55"/>
      <c r="G59" s="56"/>
      <c r="H59"/>
    </row>
    <row r="60" spans="1:63">
      <c r="A60" s="3" t="s">
        <v>2</v>
      </c>
      <c r="B60" s="4" t="s">
        <v>3</v>
      </c>
      <c r="C60" s="4" t="s">
        <v>4</v>
      </c>
      <c r="D60" s="35" t="s">
        <v>5</v>
      </c>
      <c r="E60" s="4" t="s">
        <v>6</v>
      </c>
      <c r="F60" s="4" t="s">
        <v>7</v>
      </c>
      <c r="G60" s="5" t="s">
        <v>8</v>
      </c>
      <c r="H60"/>
      <c r="BI60" s="1"/>
      <c r="BJ60" s="1"/>
      <c r="BK60" s="1"/>
    </row>
    <row r="61" spans="1:63" ht="18.75" customHeight="1">
      <c r="A61" s="28" t="s">
        <v>158</v>
      </c>
      <c r="B61" s="7" t="s">
        <v>159</v>
      </c>
      <c r="C61" s="7" t="s">
        <v>160</v>
      </c>
      <c r="D61" s="36" t="s">
        <v>161</v>
      </c>
      <c r="E61" s="7" t="s">
        <v>29</v>
      </c>
      <c r="F61" s="13">
        <f>VLOOKUP(B61:B143,'[1]Integration Data'!$J$117:$AK$150,26,0)</f>
        <v>61</v>
      </c>
      <c r="G61" s="14" t="str">
        <f>VLOOKUP(B61:B143,'[1]Integration Data'!$J$117:$AO$150,31,0)</f>
        <v>CS02-RED</v>
      </c>
      <c r="H61"/>
      <c r="BI61" s="1"/>
      <c r="BJ61" s="1"/>
      <c r="BK61" s="1"/>
    </row>
    <row r="62" spans="1:63">
      <c r="A62" s="28" t="s">
        <v>162</v>
      </c>
      <c r="B62" s="7" t="s">
        <v>163</v>
      </c>
      <c r="C62" s="7" t="s">
        <v>164</v>
      </c>
      <c r="D62" s="36" t="s">
        <v>161</v>
      </c>
      <c r="E62" s="7" t="s">
        <v>29</v>
      </c>
      <c r="F62" s="13">
        <f>VLOOKUP(B62:B143,'[1]Integration Data'!$J$117:$AK$150,26,0)</f>
        <v>62</v>
      </c>
      <c r="G62" s="14" t="str">
        <f>VLOOKUP(B62:B143,'[1]Integration Data'!$J$117:$AO$150,31,0)</f>
        <v>CS02-RED</v>
      </c>
      <c r="H62"/>
      <c r="BI62" s="1"/>
      <c r="BJ62" s="1"/>
      <c r="BK62" s="1"/>
    </row>
    <row r="63" spans="1:63">
      <c r="A63" s="28" t="s">
        <v>165</v>
      </c>
      <c r="B63" s="7" t="s">
        <v>166</v>
      </c>
      <c r="C63" s="7" t="s">
        <v>167</v>
      </c>
      <c r="D63" s="36" t="s">
        <v>161</v>
      </c>
      <c r="E63" s="7" t="s">
        <v>29</v>
      </c>
      <c r="F63" s="13">
        <f>VLOOKUP(B63:B143,'[1]Integration Data'!$J$117:$AK$150,26,0)</f>
        <v>63</v>
      </c>
      <c r="G63" s="14" t="str">
        <f>VLOOKUP(B63:B143,'[1]Integration Data'!$J$117:$AO$150,31,0)</f>
        <v>CS02-RED</v>
      </c>
      <c r="H63"/>
      <c r="BI63" s="1"/>
      <c r="BJ63" s="1"/>
      <c r="BK63" s="1"/>
    </row>
    <row r="64" spans="1:63">
      <c r="A64" s="28" t="s">
        <v>168</v>
      </c>
      <c r="B64" s="7" t="s">
        <v>169</v>
      </c>
      <c r="C64" s="7" t="s">
        <v>170</v>
      </c>
      <c r="D64" s="36" t="s">
        <v>161</v>
      </c>
      <c r="E64" s="7" t="s">
        <v>29</v>
      </c>
      <c r="F64" s="13">
        <f>VLOOKUP(B64:B143,'[1]Integration Data'!$J$117:$AK$150,26,0)</f>
        <v>64</v>
      </c>
      <c r="G64" s="14" t="str">
        <f>VLOOKUP(B64:B143,'[1]Integration Data'!$J$117:$AO$150,31,0)</f>
        <v>CS02-RED</v>
      </c>
      <c r="H64"/>
      <c r="BI64" s="1"/>
      <c r="BJ64" s="1"/>
      <c r="BK64" s="1"/>
    </row>
    <row r="65" spans="1:63">
      <c r="A65" s="28" t="s">
        <v>171</v>
      </c>
      <c r="B65" s="7" t="s">
        <v>172</v>
      </c>
      <c r="C65" s="7" t="s">
        <v>173</v>
      </c>
      <c r="D65" s="36" t="s">
        <v>161</v>
      </c>
      <c r="E65" s="7" t="s">
        <v>29</v>
      </c>
      <c r="F65" s="13">
        <f>VLOOKUP(B65:B143,'[1]Integration Data'!$J$117:$AK$150,26,0)</f>
        <v>65</v>
      </c>
      <c r="G65" s="14" t="str">
        <f>VLOOKUP(B65:B143,'[1]Integration Data'!$J$117:$AO$150,31,0)</f>
        <v>CS02-RED</v>
      </c>
      <c r="H65"/>
      <c r="BI65" s="1"/>
      <c r="BJ65" s="1"/>
      <c r="BK65" s="1"/>
    </row>
    <row r="66" spans="1:63">
      <c r="A66" s="28" t="s">
        <v>174</v>
      </c>
      <c r="B66" s="7" t="s">
        <v>175</v>
      </c>
      <c r="C66" s="7" t="s">
        <v>176</v>
      </c>
      <c r="D66" s="36" t="s">
        <v>161</v>
      </c>
      <c r="E66" s="7" t="s">
        <v>29</v>
      </c>
      <c r="F66" s="13">
        <f>VLOOKUP(B66:B144,'[1]Integration Data'!$J$117:$AK$150,26,0)</f>
        <v>66</v>
      </c>
      <c r="G66" s="14" t="str">
        <f>VLOOKUP(B66:B144,'[1]Integration Data'!$J$117:$AO$150,31,0)</f>
        <v>CS02-RED</v>
      </c>
      <c r="H66"/>
      <c r="BI66" s="1"/>
      <c r="BJ66" s="1"/>
      <c r="BK66" s="1"/>
    </row>
    <row r="67" spans="1:63">
      <c r="A67" s="28" t="s">
        <v>177</v>
      </c>
      <c r="B67" s="7" t="s">
        <v>178</v>
      </c>
      <c r="C67" s="7" t="s">
        <v>179</v>
      </c>
      <c r="D67" s="36" t="s">
        <v>161</v>
      </c>
      <c r="E67" s="7" t="s">
        <v>29</v>
      </c>
      <c r="F67" s="13">
        <f>VLOOKUP(B67:B145,'[1]Integration Data'!$J$117:$AK$150,26,0)</f>
        <v>83</v>
      </c>
      <c r="G67" s="14" t="str">
        <f>VLOOKUP(B67:B145,'[1]Integration Data'!$J$117:$AO$150,31,0)</f>
        <v>CS07-RED</v>
      </c>
      <c r="H67"/>
      <c r="BI67" s="1"/>
      <c r="BJ67" s="1"/>
      <c r="BK67" s="1"/>
    </row>
    <row r="68" spans="1:63">
      <c r="A68" s="28" t="s">
        <v>180</v>
      </c>
      <c r="B68" s="7" t="s">
        <v>181</v>
      </c>
      <c r="C68" s="7" t="s">
        <v>182</v>
      </c>
      <c r="D68" s="36" t="s">
        <v>161</v>
      </c>
      <c r="E68" s="7" t="s">
        <v>29</v>
      </c>
      <c r="F68" s="13">
        <f>VLOOKUP(B68:B146,'[1]Integration Data'!$J$117:$AK$150,26,0)</f>
        <v>84</v>
      </c>
      <c r="G68" s="14" t="str">
        <f>VLOOKUP(B68:B146,'[1]Integration Data'!$J$117:$AO$150,31,0)</f>
        <v>CS07-RED</v>
      </c>
      <c r="H68"/>
      <c r="BI68" s="1"/>
      <c r="BJ68" s="1"/>
      <c r="BK68" s="1"/>
    </row>
    <row r="69" spans="1:63">
      <c r="A69" s="28" t="s">
        <v>183</v>
      </c>
      <c r="B69" s="7" t="s">
        <v>184</v>
      </c>
      <c r="C69" s="7" t="s">
        <v>185</v>
      </c>
      <c r="D69" s="36" t="s">
        <v>161</v>
      </c>
      <c r="E69" s="7" t="s">
        <v>29</v>
      </c>
      <c r="F69" s="13">
        <f>VLOOKUP(B69:B96,'[1]Integration Data'!$J$117:$AK$150,26,0)</f>
        <v>85</v>
      </c>
      <c r="G69" s="14" t="str">
        <f>VLOOKUP(B69:B96,'[1]Integration Data'!$J$117:$AO$150,31,0)</f>
        <v>CS07-RED</v>
      </c>
      <c r="H69"/>
      <c r="BI69" s="1"/>
      <c r="BJ69" s="1"/>
      <c r="BK69" s="1"/>
    </row>
    <row r="70" spans="1:63">
      <c r="A70" s="28" t="s">
        <v>186</v>
      </c>
      <c r="B70" s="7" t="s">
        <v>187</v>
      </c>
      <c r="C70" s="7" t="s">
        <v>188</v>
      </c>
      <c r="D70" s="36" t="s">
        <v>161</v>
      </c>
      <c r="E70" s="7" t="s">
        <v>29</v>
      </c>
      <c r="F70" s="13">
        <f>VLOOKUP(B70:B97,'[1]Integration Data'!$J$117:$AK$150,26,0)</f>
        <v>86</v>
      </c>
      <c r="G70" s="14" t="str">
        <f>VLOOKUP(B70:B97,'[1]Integration Data'!$J$117:$AO$150,31,0)</f>
        <v>CS07-RED</v>
      </c>
      <c r="H70"/>
      <c r="BI70" s="1"/>
      <c r="BJ70" s="1"/>
      <c r="BK70" s="1"/>
    </row>
    <row r="71" spans="1:63">
      <c r="A71" s="28" t="s">
        <v>189</v>
      </c>
      <c r="B71" s="7" t="s">
        <v>190</v>
      </c>
      <c r="C71" s="7" t="s">
        <v>191</v>
      </c>
      <c r="D71" s="36" t="s">
        <v>161</v>
      </c>
      <c r="E71" s="7" t="s">
        <v>29</v>
      </c>
      <c r="F71" s="13">
        <f>VLOOKUP(B71:B98,'[1]Integration Data'!$J$117:$AK$150,26,0)</f>
        <v>87</v>
      </c>
      <c r="G71" s="14" t="str">
        <f>VLOOKUP(B71:B98,'[1]Integration Data'!$J$117:$AO$150,31,0)</f>
        <v>CS07-RED</v>
      </c>
      <c r="H71"/>
      <c r="BI71" s="1"/>
      <c r="BJ71" s="1"/>
      <c r="BK71" s="1"/>
    </row>
    <row r="72" spans="1:63">
      <c r="A72" s="28" t="s">
        <v>192</v>
      </c>
      <c r="B72" s="7" t="s">
        <v>193</v>
      </c>
      <c r="C72" s="7" t="s">
        <v>194</v>
      </c>
      <c r="D72" s="36" t="s">
        <v>161</v>
      </c>
      <c r="E72" s="7" t="s">
        <v>29</v>
      </c>
      <c r="F72" s="13">
        <f>VLOOKUP(B72:B99,'[1]Integration Data'!$J$117:$AK$150,26,0)</f>
        <v>88</v>
      </c>
      <c r="G72" s="14" t="str">
        <f>VLOOKUP(B72:B99,'[1]Integration Data'!$J$117:$AO$150,31,0)</f>
        <v>CS07-RED</v>
      </c>
      <c r="H72"/>
      <c r="BI72" s="1"/>
      <c r="BJ72" s="1"/>
      <c r="BK72" s="1"/>
    </row>
    <row r="73" spans="1:63">
      <c r="A73" s="28" t="s">
        <v>195</v>
      </c>
      <c r="B73" s="7" t="s">
        <v>196</v>
      </c>
      <c r="C73" s="7" t="s">
        <v>197</v>
      </c>
      <c r="D73" s="36" t="s">
        <v>161</v>
      </c>
      <c r="E73" s="7" t="s">
        <v>29</v>
      </c>
      <c r="F73" s="13">
        <f>VLOOKUP(B73:B100,'[1]Integration Data'!$J$117:$AK$150,26,0)</f>
        <v>91</v>
      </c>
      <c r="G73" s="14" t="str">
        <f>VLOOKUP(B73:B100,'[1]Integration Data'!$J$117:$AO$150,31,0)</f>
        <v>CS10-RED</v>
      </c>
      <c r="H73"/>
      <c r="BI73" s="1"/>
      <c r="BJ73" s="1"/>
      <c r="BK73" s="1"/>
    </row>
    <row r="74" spans="1:63">
      <c r="A74" s="28" t="s">
        <v>198</v>
      </c>
      <c r="B74" s="7" t="s">
        <v>199</v>
      </c>
      <c r="C74" s="7" t="s">
        <v>200</v>
      </c>
      <c r="D74" s="36" t="s">
        <v>161</v>
      </c>
      <c r="E74" s="7" t="s">
        <v>29</v>
      </c>
      <c r="F74" s="13">
        <f>VLOOKUP(B74:B101,'[1]Integration Data'!$J$117:$AK$150,26,0)</f>
        <v>92</v>
      </c>
      <c r="G74" s="14" t="str">
        <f>VLOOKUP(B74:B101,'[1]Integration Data'!$J$117:$AO$150,31,0)</f>
        <v>CS10-RED</v>
      </c>
      <c r="H74"/>
      <c r="BI74" s="1"/>
      <c r="BJ74" s="1"/>
      <c r="BK74" s="1"/>
    </row>
    <row r="75" spans="1:63">
      <c r="A75" s="28" t="s">
        <v>201</v>
      </c>
      <c r="B75" s="7" t="s">
        <v>202</v>
      </c>
      <c r="C75" s="7" t="s">
        <v>203</v>
      </c>
      <c r="D75" s="36" t="s">
        <v>161</v>
      </c>
      <c r="E75" s="7" t="s">
        <v>29</v>
      </c>
      <c r="F75" s="13">
        <f>VLOOKUP(B75:B94,'[1]Integration Data'!$J$117:$AK$150,26,0)</f>
        <v>67</v>
      </c>
      <c r="G75" s="14" t="str">
        <f>VLOOKUP(B75:B94,'[1]Integration Data'!$J$117:$AO$150,31,0)</f>
        <v>CS04-WHITE</v>
      </c>
      <c r="H75"/>
      <c r="BI75" s="1"/>
      <c r="BJ75" s="1"/>
      <c r="BK75" s="1"/>
    </row>
    <row r="76" spans="1:63">
      <c r="A76" s="28" t="s">
        <v>204</v>
      </c>
      <c r="B76" s="7" t="s">
        <v>205</v>
      </c>
      <c r="C76" s="7" t="s">
        <v>206</v>
      </c>
      <c r="D76" s="36" t="s">
        <v>161</v>
      </c>
      <c r="E76" s="7" t="s">
        <v>29</v>
      </c>
      <c r="F76" s="13">
        <f>VLOOKUP(B76:B125,'[1]Integration Data'!$J$117:$AK$150,26,0)</f>
        <v>68</v>
      </c>
      <c r="G76" s="14" t="str">
        <f>VLOOKUP(B76:B125,'[1]Integration Data'!$J$117:$AO$150,31,0)</f>
        <v>CS04-WHITE</v>
      </c>
      <c r="H76"/>
      <c r="BI76" s="1"/>
      <c r="BJ76" s="1"/>
      <c r="BK76" s="1"/>
    </row>
    <row r="77" spans="1:63">
      <c r="A77" s="28" t="s">
        <v>207</v>
      </c>
      <c r="B77" s="7" t="s">
        <v>208</v>
      </c>
      <c r="C77" s="7" t="s">
        <v>209</v>
      </c>
      <c r="D77" s="36" t="s">
        <v>161</v>
      </c>
      <c r="E77" s="7" t="s">
        <v>29</v>
      </c>
      <c r="F77" s="13">
        <f>VLOOKUP(B77:B126,'[1]Integration Data'!$J$117:$AK$150,26,0)</f>
        <v>69</v>
      </c>
      <c r="G77" s="14" t="str">
        <f>VLOOKUP(B77:B126,'[1]Integration Data'!$J$117:$AO$150,31,0)</f>
        <v>CS04-WHITE</v>
      </c>
      <c r="H77"/>
      <c r="BI77" s="1"/>
      <c r="BJ77" s="1"/>
      <c r="BK77" s="1"/>
    </row>
    <row r="78" spans="1:63">
      <c r="A78" s="28" t="s">
        <v>210</v>
      </c>
      <c r="B78" s="7" t="s">
        <v>211</v>
      </c>
      <c r="C78" s="7" t="s">
        <v>212</v>
      </c>
      <c r="D78" s="36" t="s">
        <v>161</v>
      </c>
      <c r="E78" s="7" t="s">
        <v>29</v>
      </c>
      <c r="F78" s="13">
        <f>VLOOKUP(B78:B127,'[1]Integration Data'!$J$117:$AK$150,26,0)</f>
        <v>70</v>
      </c>
      <c r="G78" s="14" t="str">
        <f>VLOOKUP(B78:B127,'[1]Integration Data'!$J$117:$AO$150,31,0)</f>
        <v>CS04-WHITE</v>
      </c>
      <c r="H78"/>
      <c r="BI78" s="1"/>
      <c r="BJ78" s="1"/>
      <c r="BK78" s="1"/>
    </row>
    <row r="79" spans="1:63">
      <c r="A79" s="28" t="s">
        <v>213</v>
      </c>
      <c r="B79" s="7" t="s">
        <v>214</v>
      </c>
      <c r="C79" s="7" t="s">
        <v>215</v>
      </c>
      <c r="D79" s="36" t="s">
        <v>161</v>
      </c>
      <c r="E79" s="7" t="s">
        <v>29</v>
      </c>
      <c r="F79" s="13">
        <f>VLOOKUP(B79:B128,'[1]Integration Data'!$J$117:$AK$150,26,0)</f>
        <v>71</v>
      </c>
      <c r="G79" s="14" t="str">
        <f>VLOOKUP(B79:B128,'[1]Integration Data'!$J$117:$AO$150,31,0)</f>
        <v>CS04-WHITE</v>
      </c>
      <c r="H79"/>
      <c r="BI79" s="1"/>
      <c r="BJ79" s="1"/>
      <c r="BK79" s="1"/>
    </row>
    <row r="80" spans="1:63">
      <c r="A80" s="28" t="s">
        <v>216</v>
      </c>
      <c r="B80" s="7" t="s">
        <v>217</v>
      </c>
      <c r="C80" s="7" t="s">
        <v>218</v>
      </c>
      <c r="D80" s="36" t="s">
        <v>161</v>
      </c>
      <c r="E80" s="7" t="s">
        <v>29</v>
      </c>
      <c r="F80" s="13">
        <f>VLOOKUP(B80:B129,'[1]Integration Data'!$J$117:$AK$150,26,0)</f>
        <v>72</v>
      </c>
      <c r="G80" s="14" t="str">
        <f>VLOOKUP(B80:B129,'[1]Integration Data'!$J$117:$AO$150,31,0)</f>
        <v>CS04-WHITE</v>
      </c>
      <c r="H80"/>
      <c r="BI80" s="1"/>
      <c r="BJ80" s="1"/>
      <c r="BK80" s="1"/>
    </row>
    <row r="81" spans="1:63">
      <c r="A81" s="28" t="s">
        <v>219</v>
      </c>
      <c r="B81" s="7" t="s">
        <v>220</v>
      </c>
      <c r="C81" s="7" t="s">
        <v>221</v>
      </c>
      <c r="D81" s="36" t="s">
        <v>161</v>
      </c>
      <c r="E81" s="7" t="s">
        <v>29</v>
      </c>
      <c r="F81" s="13">
        <f>VLOOKUP(B81:B130,'[1]Integration Data'!$J$117:$AK$150,26,0)</f>
        <v>73</v>
      </c>
      <c r="G81" s="14" t="str">
        <f>VLOOKUP(B81:B130,'[1]Integration Data'!$J$117:$AO$150,31,0)</f>
        <v>CS05-WHITE</v>
      </c>
      <c r="H81"/>
      <c r="BI81" s="1"/>
      <c r="BJ81" s="1"/>
      <c r="BK81" s="1"/>
    </row>
    <row r="82" spans="1:63">
      <c r="A82" s="28" t="s">
        <v>222</v>
      </c>
      <c r="B82" s="7" t="s">
        <v>223</v>
      </c>
      <c r="C82" s="7" t="s">
        <v>224</v>
      </c>
      <c r="D82" s="36" t="s">
        <v>161</v>
      </c>
      <c r="E82" s="7" t="s">
        <v>29</v>
      </c>
      <c r="F82" s="13">
        <f>VLOOKUP(B82:B131,'[1]Integration Data'!$J$117:$AK$150,26,0)</f>
        <v>74</v>
      </c>
      <c r="G82" s="14" t="str">
        <f>VLOOKUP(B82:B131,'[1]Integration Data'!$J$117:$AO$150,31,0)</f>
        <v>CS05-WHITE</v>
      </c>
      <c r="H82"/>
      <c r="BI82" s="1"/>
      <c r="BJ82" s="1"/>
      <c r="BK82" s="1"/>
    </row>
    <row r="83" spans="1:63">
      <c r="A83" s="28" t="s">
        <v>225</v>
      </c>
      <c r="B83" s="7" t="s">
        <v>226</v>
      </c>
      <c r="C83" s="7" t="s">
        <v>227</v>
      </c>
      <c r="D83" s="36" t="s">
        <v>161</v>
      </c>
      <c r="E83" s="7" t="s">
        <v>29</v>
      </c>
      <c r="F83" s="13">
        <f>VLOOKUP(B83:B132,'[1]Integration Data'!$J$117:$AK$150,26,0)</f>
        <v>75</v>
      </c>
      <c r="G83" s="14" t="str">
        <f>VLOOKUP(B83:B132,'[1]Integration Data'!$J$117:$AO$150,31,0)</f>
        <v>CS05-WHITE</v>
      </c>
      <c r="H83"/>
      <c r="BI83" s="1"/>
      <c r="BJ83" s="1"/>
      <c r="BK83" s="1"/>
    </row>
    <row r="84" spans="1:63">
      <c r="A84" s="28" t="s">
        <v>228</v>
      </c>
      <c r="B84" s="7" t="s">
        <v>229</v>
      </c>
      <c r="C84" s="7" t="s">
        <v>230</v>
      </c>
      <c r="D84" s="36" t="s">
        <v>161</v>
      </c>
      <c r="E84" s="7" t="s">
        <v>29</v>
      </c>
      <c r="F84" s="13">
        <f>VLOOKUP(B84:B133,'[1]Integration Data'!$J$117:$AK$150,26,0)</f>
        <v>76</v>
      </c>
      <c r="G84" s="14" t="str">
        <f>VLOOKUP(B84:B133,'[1]Integration Data'!$J$117:$AO$150,31,0)</f>
        <v>CS05-WHITE</v>
      </c>
      <c r="H84"/>
      <c r="BI84" s="1"/>
      <c r="BJ84" s="1"/>
      <c r="BK84" s="1"/>
    </row>
    <row r="85" spans="1:63">
      <c r="A85" s="28" t="s">
        <v>231</v>
      </c>
      <c r="B85" s="7" t="s">
        <v>232</v>
      </c>
      <c r="C85" s="7" t="s">
        <v>233</v>
      </c>
      <c r="D85" s="36" t="s">
        <v>161</v>
      </c>
      <c r="E85" s="7" t="s">
        <v>29</v>
      </c>
      <c r="F85" s="13">
        <f>VLOOKUP(B85:B134,'[1]Integration Data'!$J$117:$AK$150,26,0)</f>
        <v>77</v>
      </c>
      <c r="G85" s="14" t="str">
        <f>VLOOKUP(B85:B134,'[1]Integration Data'!$J$117:$AO$150,31,0)</f>
        <v>CS05-WHITE</v>
      </c>
      <c r="H85"/>
      <c r="BI85" s="1"/>
      <c r="BJ85" s="1"/>
      <c r="BK85" s="1"/>
    </row>
    <row r="86" spans="1:63">
      <c r="A86" s="28" t="s">
        <v>234</v>
      </c>
      <c r="B86" s="7" t="s">
        <v>235</v>
      </c>
      <c r="C86" s="7" t="s">
        <v>236</v>
      </c>
      <c r="D86" s="36" t="s">
        <v>161</v>
      </c>
      <c r="E86" s="7" t="s">
        <v>29</v>
      </c>
      <c r="F86" s="13">
        <f>VLOOKUP(B86:B135,'[1]Integration Data'!$J$117:$AK$150,26,0)</f>
        <v>78</v>
      </c>
      <c r="G86" s="14" t="str">
        <f>VLOOKUP(B86:B135,'[1]Integration Data'!$J$117:$AO$150,31,0)</f>
        <v>CS05-WHITE</v>
      </c>
      <c r="H86"/>
      <c r="BI86" s="1"/>
      <c r="BJ86" s="1"/>
      <c r="BK86" s="1"/>
    </row>
    <row r="87" spans="1:63">
      <c r="A87" s="28" t="s">
        <v>237</v>
      </c>
      <c r="B87" s="7" t="s">
        <v>238</v>
      </c>
      <c r="C87" s="7" t="s">
        <v>239</v>
      </c>
      <c r="D87" s="36" t="s">
        <v>161</v>
      </c>
      <c r="E87" s="7" t="s">
        <v>29</v>
      </c>
      <c r="F87" s="13">
        <f>VLOOKUP(B87:B136,'[1]Integration Data'!$J$117:$AK$150,26,0)</f>
        <v>79</v>
      </c>
      <c r="G87" s="14" t="str">
        <f>VLOOKUP(B87:B136,'[1]Integration Data'!$J$117:$AO$150,31,0)</f>
        <v>CS06-WHITE</v>
      </c>
      <c r="H87"/>
      <c r="BI87" s="1"/>
      <c r="BJ87" s="1"/>
      <c r="BK87" s="1"/>
    </row>
    <row r="88" spans="1:63">
      <c r="A88" s="28" t="s">
        <v>240</v>
      </c>
      <c r="B88" s="7" t="s">
        <v>241</v>
      </c>
      <c r="C88" s="7" t="s">
        <v>242</v>
      </c>
      <c r="D88" s="36" t="s">
        <v>161</v>
      </c>
      <c r="E88" s="7" t="s">
        <v>29</v>
      </c>
      <c r="F88" s="13">
        <f>VLOOKUP(B88:B137,'[1]Integration Data'!$J$117:$AK$150,26,0)</f>
        <v>80</v>
      </c>
      <c r="G88" s="14" t="str">
        <f>VLOOKUP(B88:B137,'[1]Integration Data'!$J$117:$AO$150,31,0)</f>
        <v>CS06-WHITE</v>
      </c>
      <c r="H88"/>
      <c r="BI88" s="1"/>
      <c r="BJ88" s="1"/>
      <c r="BK88" s="1"/>
    </row>
    <row r="89" spans="1:63">
      <c r="A89" s="28" t="s">
        <v>243</v>
      </c>
      <c r="B89" s="7" t="s">
        <v>244</v>
      </c>
      <c r="C89" s="7" t="s">
        <v>245</v>
      </c>
      <c r="D89" s="36" t="s">
        <v>161</v>
      </c>
      <c r="E89" s="7" t="s">
        <v>29</v>
      </c>
      <c r="F89" s="13">
        <f>VLOOKUP(B89:B138,'[1]Integration Data'!$J$117:$AK$150,26,0)</f>
        <v>81</v>
      </c>
      <c r="G89" s="14" t="str">
        <f>VLOOKUP(B89:B138,'[1]Integration Data'!$J$117:$AO$150,31,0)</f>
        <v>CS06-WHITE</v>
      </c>
      <c r="H89"/>
      <c r="BI89" s="1"/>
      <c r="BJ89" s="1"/>
      <c r="BK89" s="1"/>
    </row>
    <row r="90" spans="1:63">
      <c r="A90" s="28" t="s">
        <v>246</v>
      </c>
      <c r="B90" s="7" t="s">
        <v>247</v>
      </c>
      <c r="C90" s="7" t="s">
        <v>248</v>
      </c>
      <c r="D90" s="36" t="s">
        <v>161</v>
      </c>
      <c r="E90" s="7" t="s">
        <v>29</v>
      </c>
      <c r="F90" s="13">
        <f>VLOOKUP(B90:B139,'[1]Integration Data'!$J$117:$AK$150,26,0)</f>
        <v>82</v>
      </c>
      <c r="G90" s="14" t="str">
        <f>VLOOKUP(B90:B139,'[1]Integration Data'!$J$117:$AO$150,31,0)</f>
        <v>CS06-WHITE</v>
      </c>
      <c r="H90"/>
      <c r="BI90" s="1"/>
      <c r="BJ90" s="1"/>
      <c r="BK90" s="1"/>
    </row>
    <row r="91" spans="1:63">
      <c r="A91" s="28" t="s">
        <v>249</v>
      </c>
      <c r="B91" s="7" t="s">
        <v>250</v>
      </c>
      <c r="C91" s="7" t="s">
        <v>251</v>
      </c>
      <c r="D91" s="36" t="s">
        <v>161</v>
      </c>
      <c r="E91" s="7" t="s">
        <v>29</v>
      </c>
      <c r="F91" s="13">
        <f>VLOOKUP(B91:B140,'[1]Integration Data'!$J$117:$AK$150,26,0)</f>
        <v>89</v>
      </c>
      <c r="G91" s="14" t="str">
        <f>VLOOKUP(B91:B140,'[1]Integration Data'!$J$117:$AO$150,31,0)</f>
        <v>CS09-WHITE</v>
      </c>
      <c r="H91"/>
      <c r="BI91" s="1"/>
      <c r="BJ91" s="1"/>
      <c r="BK91" s="1"/>
    </row>
    <row r="92" spans="1:63">
      <c r="A92" s="28" t="s">
        <v>252</v>
      </c>
      <c r="B92" s="7" t="s">
        <v>253</v>
      </c>
      <c r="C92" s="7" t="s">
        <v>254</v>
      </c>
      <c r="D92" s="36" t="s">
        <v>161</v>
      </c>
      <c r="E92" s="7" t="s">
        <v>29</v>
      </c>
      <c r="F92" s="13">
        <f>VLOOKUP(B92:B141,'[1]Integration Data'!$J$117:$AK$150,26,0)</f>
        <v>90</v>
      </c>
      <c r="G92" s="14" t="str">
        <f>VLOOKUP(B92:B141,'[1]Integration Data'!$J$117:$AO$150,31,0)</f>
        <v>CS09-WHITE</v>
      </c>
      <c r="H92"/>
      <c r="BI92" s="1"/>
      <c r="BJ92" s="1"/>
      <c r="BK92" s="1"/>
    </row>
    <row r="93" spans="1:63">
      <c r="A93" s="28" t="s">
        <v>255</v>
      </c>
      <c r="B93" s="7" t="s">
        <v>256</v>
      </c>
      <c r="C93" s="7" t="s">
        <v>257</v>
      </c>
      <c r="D93" s="36" t="s">
        <v>161</v>
      </c>
      <c r="E93" s="7" t="s">
        <v>29</v>
      </c>
      <c r="F93" s="13">
        <f>VLOOKUP(B93:B142,'[1]Integration Data'!$J$117:$AK$150,26,0)</f>
        <v>93</v>
      </c>
      <c r="G93" s="14" t="str">
        <f>VLOOKUP(B93:B142,'[1]Integration Data'!$J$117:$AO$150,31,0)</f>
        <v>CS11-WHITE</v>
      </c>
      <c r="H93"/>
      <c r="BI93" s="1"/>
      <c r="BJ93" s="1"/>
      <c r="BK93" s="1"/>
    </row>
    <row r="94" spans="1:63" ht="15" thickBot="1">
      <c r="A94" s="29" t="s">
        <v>258</v>
      </c>
      <c r="B94" s="10" t="s">
        <v>259</v>
      </c>
      <c r="C94" s="10" t="s">
        <v>260</v>
      </c>
      <c r="D94" s="37" t="s">
        <v>161</v>
      </c>
      <c r="E94" s="12" t="s">
        <v>29</v>
      </c>
      <c r="F94" s="12">
        <f>VLOOKUP(B94:B143,'[1]Integration Data'!$J$117:$AK$150,26,0)</f>
        <v>94</v>
      </c>
      <c r="G94" s="15" t="str">
        <f>VLOOKUP(B94:B143,'[1]Integration Data'!$J$117:$AO$150,31,0)</f>
        <v>CS11-WHITE</v>
      </c>
      <c r="H94"/>
      <c r="BI94" s="1"/>
      <c r="BJ94" s="1"/>
      <c r="BK94" s="1"/>
    </row>
    <row r="95" spans="1:63" ht="15" thickBot="1">
      <c r="A95" s="31"/>
      <c r="B95" s="16"/>
      <c r="C95"/>
      <c r="D95" s="38"/>
      <c r="E95" s="16"/>
      <c r="F95" s="16"/>
      <c r="G95" s="16"/>
      <c r="H95"/>
      <c r="BJ95" s="1"/>
      <c r="BK95" s="1"/>
    </row>
    <row r="96" spans="1:63" ht="19.5">
      <c r="A96" s="54" t="s">
        <v>261</v>
      </c>
      <c r="B96" s="55"/>
      <c r="C96" s="55"/>
      <c r="D96" s="55"/>
      <c r="E96" s="55"/>
      <c r="F96" s="55"/>
      <c r="G96" s="56"/>
      <c r="H96"/>
    </row>
    <row r="97" spans="1:63">
      <c r="A97" s="3" t="s">
        <v>2</v>
      </c>
      <c r="B97" s="4" t="s">
        <v>3</v>
      </c>
      <c r="C97" s="4" t="s">
        <v>4</v>
      </c>
      <c r="D97" s="35" t="s">
        <v>262</v>
      </c>
      <c r="E97" s="4" t="s">
        <v>5</v>
      </c>
      <c r="F97" s="4" t="s">
        <v>7</v>
      </c>
      <c r="G97" s="5" t="s">
        <v>8</v>
      </c>
      <c r="H97"/>
      <c r="BI97" s="1"/>
      <c r="BJ97" s="1"/>
      <c r="BK97" s="1"/>
    </row>
    <row r="98" spans="1:63">
      <c r="A98" s="28" t="s">
        <v>263</v>
      </c>
      <c r="B98" s="7" t="s">
        <v>264</v>
      </c>
      <c r="C98" s="7" t="s">
        <v>265</v>
      </c>
      <c r="D98" s="36" t="s">
        <v>29</v>
      </c>
      <c r="E98" s="7" t="s">
        <v>161</v>
      </c>
      <c r="F98" s="7">
        <v>201</v>
      </c>
      <c r="G98" s="8" t="s">
        <v>14</v>
      </c>
      <c r="H98"/>
      <c r="BI98" s="1"/>
      <c r="BJ98" s="1"/>
      <c r="BK98" s="1"/>
    </row>
    <row r="99" spans="1:63">
      <c r="A99" s="28" t="s">
        <v>266</v>
      </c>
      <c r="B99" s="7" t="s">
        <v>267</v>
      </c>
      <c r="C99" s="7" t="s">
        <v>268</v>
      </c>
      <c r="D99" s="36" t="s">
        <v>29</v>
      </c>
      <c r="E99" s="7" t="s">
        <v>161</v>
      </c>
      <c r="F99" s="7">
        <v>202</v>
      </c>
      <c r="G99" s="8" t="s">
        <v>14</v>
      </c>
      <c r="H99"/>
      <c r="BI99" s="1"/>
      <c r="BJ99" s="1"/>
      <c r="BK99" s="1"/>
    </row>
    <row r="100" spans="1:63">
      <c r="A100" s="28" t="s">
        <v>269</v>
      </c>
      <c r="B100" s="7" t="s">
        <v>270</v>
      </c>
      <c r="C100" s="7" t="s">
        <v>271</v>
      </c>
      <c r="D100" s="36" t="s">
        <v>29</v>
      </c>
      <c r="E100" s="7" t="s">
        <v>161</v>
      </c>
      <c r="F100" s="7">
        <v>203</v>
      </c>
      <c r="G100" s="8" t="s">
        <v>272</v>
      </c>
      <c r="H100"/>
      <c r="BI100" s="1"/>
      <c r="BJ100" s="1"/>
      <c r="BK100" s="1"/>
    </row>
    <row r="101" spans="1:63">
      <c r="A101" s="28" t="s">
        <v>273</v>
      </c>
      <c r="B101" s="7" t="s">
        <v>274</v>
      </c>
      <c r="C101" s="7" t="s">
        <v>275</v>
      </c>
      <c r="D101" s="36" t="s">
        <v>29</v>
      </c>
      <c r="E101" s="7" t="s">
        <v>161</v>
      </c>
      <c r="F101" s="7">
        <v>204</v>
      </c>
      <c r="G101" s="8" t="s">
        <v>272</v>
      </c>
      <c r="H101"/>
      <c r="BI101" s="1"/>
      <c r="BJ101" s="1"/>
      <c r="BK101" s="1"/>
    </row>
    <row r="102" spans="1:63">
      <c r="A102" s="28" t="s">
        <v>276</v>
      </c>
      <c r="B102" s="7" t="s">
        <v>277</v>
      </c>
      <c r="C102" s="7" t="s">
        <v>278</v>
      </c>
      <c r="D102" s="36" t="s">
        <v>29</v>
      </c>
      <c r="E102" s="7" t="s">
        <v>161</v>
      </c>
      <c r="F102" s="7">
        <v>205</v>
      </c>
      <c r="G102" s="8" t="s">
        <v>279</v>
      </c>
      <c r="H102"/>
      <c r="BI102" s="1"/>
      <c r="BJ102" s="1"/>
      <c r="BK102" s="1"/>
    </row>
    <row r="103" spans="1:63">
      <c r="A103" s="28" t="s">
        <v>280</v>
      </c>
      <c r="B103" s="7" t="s">
        <v>281</v>
      </c>
      <c r="C103" s="7" t="s">
        <v>282</v>
      </c>
      <c r="D103" s="36" t="s">
        <v>29</v>
      </c>
      <c r="E103" s="7" t="s">
        <v>161</v>
      </c>
      <c r="F103" s="7">
        <v>206</v>
      </c>
      <c r="G103" s="8" t="s">
        <v>279</v>
      </c>
      <c r="H103"/>
      <c r="BI103" s="1"/>
      <c r="BJ103" s="1"/>
      <c r="BK103" s="1"/>
    </row>
    <row r="104" spans="1:63">
      <c r="A104" s="28" t="s">
        <v>283</v>
      </c>
      <c r="B104" s="7" t="s">
        <v>284</v>
      </c>
      <c r="C104" s="7" t="s">
        <v>285</v>
      </c>
      <c r="D104" s="36" t="s">
        <v>29</v>
      </c>
      <c r="E104" s="7" t="s">
        <v>161</v>
      </c>
      <c r="F104" s="7">
        <v>207</v>
      </c>
      <c r="G104" s="8" t="s">
        <v>286</v>
      </c>
      <c r="H104"/>
      <c r="BI104" s="1"/>
      <c r="BJ104" s="1"/>
      <c r="BK104" s="1"/>
    </row>
    <row r="105" spans="1:63">
      <c r="A105" s="28" t="s">
        <v>287</v>
      </c>
      <c r="B105" s="7" t="s">
        <v>288</v>
      </c>
      <c r="C105" s="7" t="s">
        <v>289</v>
      </c>
      <c r="D105" s="36" t="s">
        <v>29</v>
      </c>
      <c r="E105" s="7" t="s">
        <v>161</v>
      </c>
      <c r="F105" s="7">
        <v>208</v>
      </c>
      <c r="G105" s="8" t="s">
        <v>286</v>
      </c>
      <c r="H105"/>
      <c r="BI105" s="1"/>
      <c r="BJ105" s="1"/>
      <c r="BK105" s="1"/>
    </row>
    <row r="106" spans="1:63" s="48" customFormat="1">
      <c r="A106" s="43" t="s">
        <v>290</v>
      </c>
      <c r="B106" s="44" t="s">
        <v>291</v>
      </c>
      <c r="C106" s="44" t="s">
        <v>292</v>
      </c>
      <c r="D106" s="45" t="s">
        <v>29</v>
      </c>
      <c r="E106" s="44" t="s">
        <v>161</v>
      </c>
      <c r="F106" s="44">
        <v>209</v>
      </c>
      <c r="G106" s="46" t="s">
        <v>293</v>
      </c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</row>
    <row r="107" spans="1:63" s="48" customFormat="1">
      <c r="A107" s="43" t="s">
        <v>294</v>
      </c>
      <c r="B107" s="44" t="s">
        <v>295</v>
      </c>
      <c r="C107" s="44" t="s">
        <v>296</v>
      </c>
      <c r="D107" s="45" t="s">
        <v>29</v>
      </c>
      <c r="E107" s="44" t="s">
        <v>161</v>
      </c>
      <c r="F107" s="44">
        <v>210</v>
      </c>
      <c r="G107" s="46" t="s">
        <v>293</v>
      </c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</row>
    <row r="108" spans="1:63">
      <c r="A108" s="28" t="s">
        <v>297</v>
      </c>
      <c r="B108" s="7" t="s">
        <v>298</v>
      </c>
      <c r="C108" s="7" t="s">
        <v>299</v>
      </c>
      <c r="D108" s="36" t="s">
        <v>29</v>
      </c>
      <c r="E108" s="7" t="s">
        <v>161</v>
      </c>
      <c r="F108" s="7">
        <v>211</v>
      </c>
      <c r="G108" s="8" t="s">
        <v>300</v>
      </c>
      <c r="H108"/>
      <c r="BI108" s="1"/>
      <c r="BJ108" s="1"/>
      <c r="BK108" s="1"/>
    </row>
    <row r="109" spans="1:63">
      <c r="A109" s="28" t="s">
        <v>301</v>
      </c>
      <c r="B109" s="7" t="s">
        <v>302</v>
      </c>
      <c r="C109" s="7" t="s">
        <v>303</v>
      </c>
      <c r="D109" s="36" t="s">
        <v>29</v>
      </c>
      <c r="E109" s="7" t="s">
        <v>161</v>
      </c>
      <c r="F109" s="7">
        <v>212</v>
      </c>
      <c r="G109" s="8" t="s">
        <v>300</v>
      </c>
      <c r="H109"/>
      <c r="BI109" s="1"/>
      <c r="BJ109" s="1"/>
      <c r="BK109" s="1"/>
    </row>
    <row r="110" spans="1:63">
      <c r="A110" s="28" t="s">
        <v>304</v>
      </c>
      <c r="B110" s="7" t="s">
        <v>305</v>
      </c>
      <c r="C110" s="7" t="s">
        <v>306</v>
      </c>
      <c r="D110" s="36" t="s">
        <v>29</v>
      </c>
      <c r="E110" s="7" t="s">
        <v>161</v>
      </c>
      <c r="F110" s="7">
        <v>213</v>
      </c>
      <c r="G110" s="8" t="s">
        <v>307</v>
      </c>
      <c r="H110"/>
      <c r="BI110" s="1"/>
      <c r="BJ110" s="1"/>
      <c r="BK110" s="1"/>
    </row>
    <row r="111" spans="1:63">
      <c r="A111" s="28" t="s">
        <v>308</v>
      </c>
      <c r="B111" s="7" t="s">
        <v>309</v>
      </c>
      <c r="C111" s="7" t="s">
        <v>310</v>
      </c>
      <c r="D111" s="36" t="s">
        <v>29</v>
      </c>
      <c r="E111" s="7" t="s">
        <v>161</v>
      </c>
      <c r="F111" s="7">
        <v>214</v>
      </c>
      <c r="G111" s="8" t="s">
        <v>307</v>
      </c>
      <c r="H111"/>
      <c r="BI111" s="1"/>
      <c r="BJ111" s="1"/>
      <c r="BK111" s="1"/>
    </row>
    <row r="112" spans="1:63">
      <c r="A112" s="28" t="s">
        <v>311</v>
      </c>
      <c r="B112" s="7" t="s">
        <v>312</v>
      </c>
      <c r="C112" s="7" t="s">
        <v>313</v>
      </c>
      <c r="D112" s="36" t="s">
        <v>29</v>
      </c>
      <c r="E112" s="7" t="s">
        <v>161</v>
      </c>
      <c r="F112" s="7">
        <v>215</v>
      </c>
      <c r="G112" s="8" t="s">
        <v>314</v>
      </c>
      <c r="H112"/>
      <c r="BI112" s="1"/>
      <c r="BJ112" s="1"/>
      <c r="BK112" s="1"/>
    </row>
    <row r="113" spans="1:63">
      <c r="A113" s="28" t="s">
        <v>315</v>
      </c>
      <c r="B113" s="7" t="s">
        <v>316</v>
      </c>
      <c r="C113" s="7" t="s">
        <v>317</v>
      </c>
      <c r="D113" s="36" t="s">
        <v>29</v>
      </c>
      <c r="E113" s="7" t="s">
        <v>161</v>
      </c>
      <c r="F113" s="7">
        <v>216</v>
      </c>
      <c r="G113" s="8" t="s">
        <v>314</v>
      </c>
      <c r="H113"/>
      <c r="BI113" s="1"/>
      <c r="BJ113" s="1"/>
      <c r="BK113" s="1"/>
    </row>
    <row r="114" spans="1:63">
      <c r="A114" s="28" t="s">
        <v>318</v>
      </c>
      <c r="B114" s="7" t="s">
        <v>319</v>
      </c>
      <c r="C114" s="7" t="s">
        <v>320</v>
      </c>
      <c r="D114" s="36" t="s">
        <v>29</v>
      </c>
      <c r="E114" s="7" t="s">
        <v>161</v>
      </c>
      <c r="F114" s="7">
        <v>217</v>
      </c>
      <c r="G114" s="8" t="s">
        <v>321</v>
      </c>
      <c r="H114"/>
      <c r="BI114" s="1"/>
      <c r="BJ114" s="1"/>
      <c r="BK114" s="1"/>
    </row>
    <row r="115" spans="1:63">
      <c r="A115" s="28" t="s">
        <v>322</v>
      </c>
      <c r="B115" s="7" t="s">
        <v>323</v>
      </c>
      <c r="C115" s="7" t="s">
        <v>324</v>
      </c>
      <c r="D115" s="36" t="s">
        <v>29</v>
      </c>
      <c r="E115" s="7" t="s">
        <v>161</v>
      </c>
      <c r="F115" s="7">
        <v>218</v>
      </c>
      <c r="G115" s="8" t="s">
        <v>321</v>
      </c>
      <c r="H115"/>
      <c r="BI115" s="1"/>
      <c r="BJ115" s="1"/>
      <c r="BK115" s="1"/>
    </row>
    <row r="116" spans="1:63" ht="15" thickBot="1">
      <c r="A116" s="32" t="s">
        <v>325</v>
      </c>
      <c r="B116" s="10" t="s">
        <v>326</v>
      </c>
      <c r="C116" s="10" t="s">
        <v>327</v>
      </c>
      <c r="D116" s="37" t="s">
        <v>29</v>
      </c>
      <c r="E116" s="10" t="s">
        <v>161</v>
      </c>
      <c r="F116" s="10">
        <v>219</v>
      </c>
      <c r="G116" s="11" t="s">
        <v>321</v>
      </c>
      <c r="H116"/>
      <c r="BI116" s="1"/>
      <c r="BJ116" s="1"/>
      <c r="BK116" s="1"/>
    </row>
    <row r="117" spans="1:63" ht="15" thickBot="1">
      <c r="A117" s="31"/>
      <c r="B117" s="16"/>
      <c r="C117"/>
      <c r="D117" s="38"/>
      <c r="E117" s="16"/>
      <c r="F117" s="16"/>
      <c r="G117" s="16"/>
      <c r="H117"/>
    </row>
    <row r="118" spans="1:63" ht="19.5">
      <c r="A118" s="54" t="s">
        <v>328</v>
      </c>
      <c r="B118" s="55"/>
      <c r="C118" s="55"/>
      <c r="D118" s="55"/>
      <c r="E118" s="55"/>
      <c r="F118" s="55"/>
      <c r="G118" s="56"/>
      <c r="H118"/>
    </row>
    <row r="119" spans="1:63">
      <c r="A119" s="3" t="s">
        <v>2</v>
      </c>
      <c r="B119" s="4" t="s">
        <v>3</v>
      </c>
      <c r="C119" s="4" t="s">
        <v>443</v>
      </c>
      <c r="D119" s="35" t="s">
        <v>441</v>
      </c>
      <c r="E119" s="4" t="s">
        <v>442</v>
      </c>
      <c r="F119" s="4" t="s">
        <v>485</v>
      </c>
      <c r="G119" s="5" t="s">
        <v>8</v>
      </c>
      <c r="H119"/>
      <c r="BI119" s="1"/>
      <c r="BJ119" s="1"/>
      <c r="BK119" s="1"/>
    </row>
    <row r="120" spans="1:63">
      <c r="A120" s="33" t="s">
        <v>482</v>
      </c>
      <c r="B120" s="49" t="s">
        <v>483</v>
      </c>
      <c r="C120" s="50" t="s">
        <v>11</v>
      </c>
      <c r="D120" s="51" t="s">
        <v>484</v>
      </c>
      <c r="E120" s="52" t="s">
        <v>444</v>
      </c>
      <c r="F120" s="52" t="s">
        <v>486</v>
      </c>
      <c r="G120" s="53" t="s">
        <v>14</v>
      </c>
      <c r="H120"/>
      <c r="BI120" s="1"/>
      <c r="BJ120" s="1"/>
      <c r="BK120" s="1"/>
    </row>
    <row r="121" spans="1:63">
      <c r="A121" s="28"/>
      <c r="B121" s="17"/>
      <c r="C121" s="18" t="s">
        <v>17</v>
      </c>
      <c r="D121" s="39"/>
      <c r="E121" s="13"/>
      <c r="F121" s="13"/>
      <c r="G121" s="19"/>
      <c r="H121"/>
      <c r="BI121" s="1"/>
      <c r="BJ121" s="1"/>
      <c r="BK121" s="1"/>
    </row>
    <row r="122" spans="1:63">
      <c r="A122" s="28"/>
      <c r="B122" s="17"/>
      <c r="C122" s="18" t="s">
        <v>20</v>
      </c>
      <c r="D122" s="39"/>
      <c r="E122" s="13"/>
      <c r="F122" s="13"/>
      <c r="G122" s="19"/>
      <c r="H122"/>
      <c r="BI122" s="1"/>
      <c r="BJ122" s="1"/>
      <c r="BK122" s="1"/>
    </row>
    <row r="123" spans="1:63">
      <c r="A123" s="28"/>
      <c r="B123" s="17"/>
      <c r="C123" s="18" t="s">
        <v>24</v>
      </c>
      <c r="D123" s="39"/>
      <c r="E123" s="13"/>
      <c r="F123" s="13"/>
      <c r="G123" s="19"/>
      <c r="H123"/>
      <c r="BI123" s="1"/>
      <c r="BJ123" s="1"/>
      <c r="BK123" s="1"/>
    </row>
    <row r="124" spans="1:63" ht="15" thickBot="1">
      <c r="A124" s="29"/>
      <c r="B124" s="21"/>
      <c r="C124" s="22" t="s">
        <v>438</v>
      </c>
      <c r="D124" s="40"/>
      <c r="E124" s="12"/>
      <c r="F124" s="12"/>
      <c r="G124" s="20"/>
      <c r="H124"/>
      <c r="BI124" s="1"/>
      <c r="BJ124" s="1"/>
      <c r="BK124" s="1"/>
    </row>
    <row r="125" spans="1:63" ht="15" thickBot="1">
      <c r="H125"/>
    </row>
    <row r="126" spans="1:63" ht="19.5">
      <c r="A126" s="54" t="s">
        <v>329</v>
      </c>
      <c r="B126" s="55"/>
      <c r="C126" s="55"/>
      <c r="D126" s="55"/>
      <c r="E126" s="55"/>
      <c r="F126" s="55"/>
      <c r="G126" s="56"/>
      <c r="H126"/>
    </row>
    <row r="127" spans="1:63">
      <c r="A127" s="3" t="s">
        <v>2</v>
      </c>
      <c r="B127" s="4" t="s">
        <v>3</v>
      </c>
      <c r="C127" s="4" t="s">
        <v>4</v>
      </c>
      <c r="D127" s="35" t="s">
        <v>5</v>
      </c>
      <c r="E127" s="4" t="s">
        <v>6</v>
      </c>
      <c r="F127" s="4" t="s">
        <v>7</v>
      </c>
      <c r="G127" s="5" t="s">
        <v>8</v>
      </c>
      <c r="H127"/>
      <c r="BI127" s="1"/>
      <c r="BJ127" s="1"/>
      <c r="BK127" s="1"/>
    </row>
    <row r="128" spans="1:63">
      <c r="A128" s="28" t="s">
        <v>330</v>
      </c>
      <c r="B128" s="7" t="s">
        <v>331</v>
      </c>
      <c r="C128" s="7" t="s">
        <v>332</v>
      </c>
      <c r="D128" s="36"/>
      <c r="E128" s="7"/>
      <c r="F128" s="7"/>
      <c r="G128" s="8" t="s">
        <v>333</v>
      </c>
      <c r="H128"/>
      <c r="BI128" s="1"/>
      <c r="BJ128" s="1"/>
      <c r="BK128" s="1"/>
    </row>
    <row r="129" spans="1:63">
      <c r="A129" s="28" t="s">
        <v>334</v>
      </c>
      <c r="B129" s="7" t="s">
        <v>335</v>
      </c>
      <c r="C129" s="7" t="s">
        <v>336</v>
      </c>
      <c r="D129" s="36"/>
      <c r="E129" s="7"/>
      <c r="F129" s="7"/>
      <c r="G129" s="8" t="s">
        <v>333</v>
      </c>
      <c r="H129"/>
      <c r="BI129" s="1"/>
      <c r="BJ129" s="1"/>
      <c r="BK129" s="1"/>
    </row>
    <row r="130" spans="1:63">
      <c r="A130" s="28" t="s">
        <v>337</v>
      </c>
      <c r="B130" s="7" t="s">
        <v>338</v>
      </c>
      <c r="C130" s="7" t="s">
        <v>339</v>
      </c>
      <c r="D130" s="36"/>
      <c r="E130" s="7"/>
      <c r="F130" s="7"/>
      <c r="G130" s="8" t="s">
        <v>340</v>
      </c>
      <c r="H130"/>
      <c r="BI130" s="1"/>
      <c r="BJ130" s="1"/>
      <c r="BK130" s="1"/>
    </row>
    <row r="131" spans="1:63">
      <c r="A131" s="28" t="s">
        <v>341</v>
      </c>
      <c r="B131" s="7" t="s">
        <v>342</v>
      </c>
      <c r="C131" s="7" t="s">
        <v>343</v>
      </c>
      <c r="D131" s="36"/>
      <c r="E131" s="7"/>
      <c r="F131" s="7"/>
      <c r="G131" s="8" t="s">
        <v>340</v>
      </c>
      <c r="H131"/>
      <c r="BI131" s="1"/>
      <c r="BJ131" s="1"/>
      <c r="BK131" s="1"/>
    </row>
    <row r="132" spans="1:63">
      <c r="A132" s="28" t="s">
        <v>344</v>
      </c>
      <c r="B132" s="7" t="s">
        <v>345</v>
      </c>
      <c r="C132" s="7" t="s">
        <v>346</v>
      </c>
      <c r="D132" s="36"/>
      <c r="E132" s="7"/>
      <c r="F132" s="7"/>
      <c r="G132" s="8" t="s">
        <v>347</v>
      </c>
      <c r="H132"/>
      <c r="BI132" s="1"/>
      <c r="BJ132" s="1"/>
      <c r="BK132" s="1"/>
    </row>
    <row r="133" spans="1:63">
      <c r="A133" s="28" t="s">
        <v>348</v>
      </c>
      <c r="B133" s="7" t="s">
        <v>349</v>
      </c>
      <c r="C133" s="7" t="s">
        <v>350</v>
      </c>
      <c r="D133" s="36"/>
      <c r="E133" s="7"/>
      <c r="F133" s="7"/>
      <c r="G133" s="8" t="s">
        <v>347</v>
      </c>
      <c r="H133"/>
      <c r="BI133" s="1"/>
      <c r="BJ133" s="1"/>
      <c r="BK133" s="1"/>
    </row>
    <row r="134" spans="1:63">
      <c r="A134" s="28" t="s">
        <v>351</v>
      </c>
      <c r="B134" s="7" t="s">
        <v>352</v>
      </c>
      <c r="C134" s="7" t="s">
        <v>353</v>
      </c>
      <c r="D134" s="36"/>
      <c r="E134" s="7"/>
      <c r="F134" s="7"/>
      <c r="G134" s="8" t="s">
        <v>354</v>
      </c>
      <c r="H134"/>
      <c r="BI134" s="1"/>
      <c r="BJ134" s="1"/>
      <c r="BK134" s="1"/>
    </row>
    <row r="135" spans="1:63">
      <c r="A135" s="28" t="s">
        <v>355</v>
      </c>
      <c r="B135" s="7" t="s">
        <v>356</v>
      </c>
      <c r="C135" s="7" t="s">
        <v>357</v>
      </c>
      <c r="D135" s="36"/>
      <c r="E135" s="7"/>
      <c r="F135" s="7"/>
      <c r="G135" s="8" t="s">
        <v>354</v>
      </c>
      <c r="H135"/>
      <c r="BI135" s="1"/>
      <c r="BJ135" s="1"/>
      <c r="BK135" s="1"/>
    </row>
    <row r="136" spans="1:63">
      <c r="A136" s="28" t="s">
        <v>358</v>
      </c>
      <c r="B136" s="7" t="s">
        <v>359</v>
      </c>
      <c r="C136" s="7" t="s">
        <v>360</v>
      </c>
      <c r="D136" s="36"/>
      <c r="E136" s="7"/>
      <c r="F136" s="7"/>
      <c r="G136" s="8" t="s">
        <v>361</v>
      </c>
      <c r="H136"/>
      <c r="BI136" s="1"/>
      <c r="BJ136" s="1"/>
      <c r="BK136" s="1"/>
    </row>
    <row r="137" spans="1:63">
      <c r="A137" s="28" t="s">
        <v>362</v>
      </c>
      <c r="B137" s="7" t="s">
        <v>363</v>
      </c>
      <c r="C137" s="7" t="s">
        <v>364</v>
      </c>
      <c r="D137" s="36"/>
      <c r="E137" s="7"/>
      <c r="F137" s="7"/>
      <c r="G137" s="8" t="s">
        <v>361</v>
      </c>
      <c r="H137"/>
      <c r="BI137" s="1"/>
      <c r="BJ137" s="1"/>
      <c r="BK137" s="1"/>
    </row>
    <row r="138" spans="1:63">
      <c r="A138" s="28" t="s">
        <v>365</v>
      </c>
      <c r="B138" s="7" t="s">
        <v>366</v>
      </c>
      <c r="C138" s="7" t="s">
        <v>367</v>
      </c>
      <c r="D138" s="36"/>
      <c r="E138" s="7"/>
      <c r="F138" s="7"/>
      <c r="G138" s="8" t="s">
        <v>368</v>
      </c>
      <c r="H138"/>
      <c r="BI138" s="1"/>
      <c r="BJ138" s="1"/>
      <c r="BK138" s="1"/>
    </row>
    <row r="139" spans="1:63">
      <c r="A139" s="28" t="s">
        <v>369</v>
      </c>
      <c r="B139" s="7" t="s">
        <v>370</v>
      </c>
      <c r="C139" s="7" t="s">
        <v>371</v>
      </c>
      <c r="D139" s="36"/>
      <c r="E139" s="7"/>
      <c r="F139" s="7"/>
      <c r="G139" s="8" t="s">
        <v>368</v>
      </c>
      <c r="H139"/>
      <c r="BI139" s="1"/>
      <c r="BJ139" s="1"/>
      <c r="BK139" s="1"/>
    </row>
    <row r="140" spans="1:63">
      <c r="A140" s="28" t="s">
        <v>372</v>
      </c>
      <c r="B140" s="7" t="s">
        <v>373</v>
      </c>
      <c r="C140" s="7" t="s">
        <v>374</v>
      </c>
      <c r="D140" s="36"/>
      <c r="E140" s="7"/>
      <c r="F140" s="7"/>
      <c r="G140" s="8" t="s">
        <v>314</v>
      </c>
      <c r="H140"/>
      <c r="BI140" s="1"/>
      <c r="BJ140" s="1"/>
      <c r="BK140" s="1"/>
    </row>
    <row r="141" spans="1:63">
      <c r="A141" s="28" t="s">
        <v>375</v>
      </c>
      <c r="B141" s="7" t="s">
        <v>376</v>
      </c>
      <c r="C141" s="7" t="s">
        <v>377</v>
      </c>
      <c r="D141" s="36"/>
      <c r="E141" s="7"/>
      <c r="F141" s="7"/>
      <c r="G141" s="8" t="s">
        <v>314</v>
      </c>
      <c r="H141"/>
      <c r="BI141" s="1"/>
      <c r="BJ141" s="1"/>
      <c r="BK141" s="1"/>
    </row>
    <row r="142" spans="1:63">
      <c r="A142" s="28" t="s">
        <v>378</v>
      </c>
      <c r="B142" s="7" t="s">
        <v>379</v>
      </c>
      <c r="C142" s="7" t="s">
        <v>380</v>
      </c>
      <c r="D142" s="36"/>
      <c r="E142" s="7"/>
      <c r="F142" s="7"/>
      <c r="G142" s="8" t="s">
        <v>321</v>
      </c>
      <c r="H142"/>
      <c r="BI142" s="1"/>
      <c r="BJ142" s="1"/>
      <c r="BK142" s="1"/>
    </row>
    <row r="143" spans="1:63" ht="15" thickBot="1">
      <c r="A143" s="29" t="s">
        <v>381</v>
      </c>
      <c r="B143" s="10" t="s">
        <v>382</v>
      </c>
      <c r="C143" s="10" t="s">
        <v>383</v>
      </c>
      <c r="D143" s="37"/>
      <c r="E143" s="10"/>
      <c r="F143" s="10"/>
      <c r="G143" s="11" t="s">
        <v>321</v>
      </c>
      <c r="H143"/>
      <c r="BI143" s="1"/>
      <c r="BJ143" s="1"/>
      <c r="BK143" s="1"/>
    </row>
    <row r="144" spans="1:63" ht="15" thickBot="1">
      <c r="H144"/>
    </row>
    <row r="145" spans="1:17" ht="17.25" customHeight="1">
      <c r="A145" s="54" t="s">
        <v>384</v>
      </c>
      <c r="B145" s="55"/>
      <c r="C145" s="55"/>
      <c r="D145" s="55"/>
      <c r="E145" s="55"/>
      <c r="F145" s="55"/>
      <c r="G145" s="56"/>
      <c r="H145"/>
    </row>
    <row r="146" spans="1:17">
      <c r="A146" s="3" t="s">
        <v>2</v>
      </c>
      <c r="B146" s="4" t="s">
        <v>3</v>
      </c>
      <c r="C146" s="4" t="s">
        <v>4</v>
      </c>
      <c r="D146" s="35" t="s">
        <v>5</v>
      </c>
      <c r="E146" s="4" t="s">
        <v>6</v>
      </c>
      <c r="F146" s="4" t="s">
        <v>7</v>
      </c>
      <c r="G146" s="5" t="s">
        <v>8</v>
      </c>
      <c r="H146"/>
    </row>
    <row r="147" spans="1:17">
      <c r="A147" s="28" t="s">
        <v>385</v>
      </c>
      <c r="B147" s="7" t="s">
        <v>386</v>
      </c>
      <c r="C147" s="7" t="s">
        <v>387</v>
      </c>
      <c r="D147" s="36" t="s">
        <v>388</v>
      </c>
      <c r="E147" s="7"/>
      <c r="F147" s="7"/>
      <c r="G147" s="8" t="s">
        <v>14</v>
      </c>
      <c r="H147"/>
    </row>
    <row r="148" spans="1:17">
      <c r="A148" s="28" t="s">
        <v>389</v>
      </c>
      <c r="B148" s="7" t="s">
        <v>390</v>
      </c>
      <c r="C148" s="7" t="s">
        <v>391</v>
      </c>
      <c r="D148" s="36" t="s">
        <v>388</v>
      </c>
      <c r="E148" s="7"/>
      <c r="F148" s="7"/>
      <c r="G148" s="8" t="s">
        <v>14</v>
      </c>
      <c r="H148"/>
    </row>
    <row r="149" spans="1:17">
      <c r="A149" s="28" t="s">
        <v>392</v>
      </c>
      <c r="B149" s="7" t="s">
        <v>393</v>
      </c>
      <c r="C149" s="7" t="s">
        <v>394</v>
      </c>
      <c r="D149" s="36" t="s">
        <v>388</v>
      </c>
      <c r="E149" s="7"/>
      <c r="F149" s="7"/>
      <c r="G149" s="8" t="s">
        <v>14</v>
      </c>
      <c r="H149"/>
    </row>
    <row r="150" spans="1:17">
      <c r="A150" s="28" t="s">
        <v>395</v>
      </c>
      <c r="B150" s="7" t="s">
        <v>396</v>
      </c>
      <c r="C150" s="7" t="s">
        <v>397</v>
      </c>
      <c r="D150" s="36" t="s">
        <v>388</v>
      </c>
      <c r="E150" s="7"/>
      <c r="F150" s="7"/>
      <c r="G150" s="8" t="s">
        <v>14</v>
      </c>
      <c r="H150"/>
    </row>
    <row r="151" spans="1:17" ht="15" thickBot="1">
      <c r="A151" s="29" t="s">
        <v>398</v>
      </c>
      <c r="B151" s="10" t="s">
        <v>399</v>
      </c>
      <c r="C151" s="10" t="s">
        <v>400</v>
      </c>
      <c r="D151" s="37" t="s">
        <v>388</v>
      </c>
      <c r="E151" s="10"/>
      <c r="F151" s="10"/>
      <c r="G151" s="11" t="s">
        <v>14</v>
      </c>
      <c r="H151"/>
    </row>
    <row r="152" spans="1:17" ht="15" thickBot="1">
      <c r="H152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7.25" customHeight="1">
      <c r="A153" s="54" t="s">
        <v>401</v>
      </c>
      <c r="B153" s="55"/>
      <c r="C153" s="55"/>
      <c r="D153" s="55"/>
      <c r="E153" s="55"/>
      <c r="F153" s="55"/>
      <c r="G153" s="56"/>
      <c r="H153"/>
    </row>
    <row r="154" spans="1:17">
      <c r="A154" s="3" t="s">
        <v>2</v>
      </c>
      <c r="B154" s="4" t="s">
        <v>3</v>
      </c>
      <c r="C154" s="4" t="s">
        <v>4</v>
      </c>
      <c r="D154" s="35" t="s">
        <v>5</v>
      </c>
      <c r="E154" s="4" t="s">
        <v>6</v>
      </c>
      <c r="F154" s="4" t="s">
        <v>7</v>
      </c>
      <c r="G154" s="5" t="s">
        <v>8</v>
      </c>
      <c r="H154"/>
    </row>
    <row r="155" spans="1:17" ht="15" thickBot="1">
      <c r="A155" s="29" t="s">
        <v>401</v>
      </c>
      <c r="B155" s="10" t="s">
        <v>402</v>
      </c>
      <c r="C155" s="10" t="s">
        <v>403</v>
      </c>
      <c r="D155" s="37" t="s">
        <v>404</v>
      </c>
      <c r="E155" s="10" t="s">
        <v>404</v>
      </c>
      <c r="F155" s="10" t="s">
        <v>404</v>
      </c>
      <c r="G155" s="10" t="s">
        <v>14</v>
      </c>
      <c r="H155"/>
    </row>
    <row r="156" spans="1:17" ht="15" thickBot="1">
      <c r="H156"/>
    </row>
    <row r="157" spans="1:17" ht="17.25" customHeight="1">
      <c r="A157" s="54" t="s">
        <v>405</v>
      </c>
      <c r="B157" s="55"/>
      <c r="C157" s="55"/>
      <c r="D157" s="55"/>
      <c r="E157" s="55"/>
      <c r="F157" s="55"/>
      <c r="G157" s="56"/>
      <c r="H157"/>
    </row>
    <row r="158" spans="1:17">
      <c r="A158" s="3" t="s">
        <v>2</v>
      </c>
      <c r="B158" s="4" t="s">
        <v>3</v>
      </c>
      <c r="C158" s="4" t="s">
        <v>4</v>
      </c>
      <c r="D158" s="35" t="s">
        <v>5</v>
      </c>
      <c r="E158" s="4" t="s">
        <v>6</v>
      </c>
      <c r="F158" s="4" t="s">
        <v>7</v>
      </c>
      <c r="G158" s="5" t="s">
        <v>8</v>
      </c>
      <c r="H158"/>
    </row>
    <row r="159" spans="1:17">
      <c r="A159" s="28" t="s">
        <v>406</v>
      </c>
      <c r="B159" s="7" t="s">
        <v>406</v>
      </c>
      <c r="C159" s="13"/>
      <c r="D159" s="39"/>
      <c r="E159" s="13"/>
      <c r="F159" s="13"/>
      <c r="G159" s="14"/>
      <c r="H159"/>
    </row>
    <row r="160" spans="1:17">
      <c r="A160" s="28" t="s">
        <v>407</v>
      </c>
      <c r="B160" s="7" t="s">
        <v>407</v>
      </c>
      <c r="C160" s="13"/>
      <c r="D160" s="39"/>
      <c r="E160" s="13"/>
      <c r="F160" s="13"/>
      <c r="G160" s="14"/>
      <c r="H160"/>
    </row>
    <row r="161" spans="1:8">
      <c r="A161" s="28" t="s">
        <v>408</v>
      </c>
      <c r="B161" s="7" t="s">
        <v>408</v>
      </c>
      <c r="C161" s="13"/>
      <c r="D161" s="39"/>
      <c r="E161" s="13"/>
      <c r="F161" s="13"/>
      <c r="G161" s="14"/>
      <c r="H161"/>
    </row>
    <row r="162" spans="1:8">
      <c r="A162" s="28" t="s">
        <v>409</v>
      </c>
      <c r="B162" s="7" t="s">
        <v>409</v>
      </c>
      <c r="C162" s="13"/>
      <c r="D162" s="39"/>
      <c r="E162" s="13"/>
      <c r="F162" s="13"/>
      <c r="G162" s="14"/>
      <c r="H162"/>
    </row>
    <row r="163" spans="1:8">
      <c r="A163" s="28" t="s">
        <v>410</v>
      </c>
      <c r="B163" s="7" t="s">
        <v>410</v>
      </c>
      <c r="C163" s="23"/>
      <c r="D163" s="41"/>
      <c r="E163" s="23"/>
      <c r="F163" s="23"/>
      <c r="G163" s="24"/>
      <c r="H163"/>
    </row>
    <row r="164" spans="1:8">
      <c r="A164" s="28" t="s">
        <v>411</v>
      </c>
      <c r="B164" s="7" t="s">
        <v>411</v>
      </c>
      <c r="C164" s="23"/>
      <c r="D164" s="41"/>
      <c r="E164" s="23"/>
      <c r="F164" s="23"/>
      <c r="G164" s="24"/>
      <c r="H164"/>
    </row>
    <row r="165" spans="1:8">
      <c r="A165" s="28" t="s">
        <v>412</v>
      </c>
      <c r="B165" s="7" t="s">
        <v>412</v>
      </c>
      <c r="C165" s="23"/>
      <c r="D165" s="41"/>
      <c r="E165" s="23"/>
      <c r="F165" s="23"/>
      <c r="G165" s="24"/>
      <c r="H165"/>
    </row>
    <row r="166" spans="1:8">
      <c r="A166" s="28" t="s">
        <v>413</v>
      </c>
      <c r="B166" s="7" t="s">
        <v>413</v>
      </c>
      <c r="C166" s="23"/>
      <c r="D166" s="41"/>
      <c r="E166" s="23"/>
      <c r="F166" s="23"/>
      <c r="G166" s="24"/>
      <c r="H166"/>
    </row>
    <row r="167" spans="1:8">
      <c r="A167" s="28" t="s">
        <v>414</v>
      </c>
      <c r="B167" s="7" t="s">
        <v>414</v>
      </c>
      <c r="C167" s="23"/>
      <c r="D167" s="41"/>
      <c r="E167" s="23"/>
      <c r="F167" s="23"/>
      <c r="G167" s="24"/>
      <c r="H167"/>
    </row>
    <row r="168" spans="1:8">
      <c r="A168" s="28" t="s">
        <v>415</v>
      </c>
      <c r="B168" s="7" t="s">
        <v>415</v>
      </c>
      <c r="C168" s="23"/>
      <c r="D168" s="41"/>
      <c r="E168" s="23"/>
      <c r="F168" s="23"/>
      <c r="G168" s="24"/>
      <c r="H168"/>
    </row>
    <row r="169" spans="1:8">
      <c r="A169" s="28" t="s">
        <v>416</v>
      </c>
      <c r="B169" s="7" t="s">
        <v>416</v>
      </c>
      <c r="C169" s="23"/>
      <c r="D169" s="41"/>
      <c r="E169" s="23"/>
      <c r="F169" s="23"/>
      <c r="G169" s="24"/>
      <c r="H169"/>
    </row>
    <row r="170" spans="1:8">
      <c r="A170" s="28" t="s">
        <v>417</v>
      </c>
      <c r="B170" s="7" t="s">
        <v>417</v>
      </c>
      <c r="C170" s="23"/>
      <c r="D170" s="41"/>
      <c r="E170" s="23"/>
      <c r="F170" s="23"/>
      <c r="G170" s="24"/>
      <c r="H170"/>
    </row>
    <row r="171" spans="1:8">
      <c r="A171" s="28" t="s">
        <v>418</v>
      </c>
      <c r="B171" s="7" t="s">
        <v>418</v>
      </c>
      <c r="C171" s="23"/>
      <c r="D171" s="41"/>
      <c r="E171" s="23"/>
      <c r="F171" s="23"/>
      <c r="G171" s="24"/>
      <c r="H171"/>
    </row>
    <row r="172" spans="1:8">
      <c r="A172" s="28" t="s">
        <v>419</v>
      </c>
      <c r="B172" s="7" t="s">
        <v>419</v>
      </c>
      <c r="C172" s="23"/>
      <c r="D172" s="41"/>
      <c r="E172" s="23"/>
      <c r="F172" s="23"/>
      <c r="G172" s="24"/>
      <c r="H172"/>
    </row>
    <row r="173" spans="1:8">
      <c r="A173" s="28" t="s">
        <v>420</v>
      </c>
      <c r="B173" s="7" t="s">
        <v>420</v>
      </c>
      <c r="C173" s="23"/>
      <c r="D173" s="41"/>
      <c r="E173" s="23"/>
      <c r="F173" s="23"/>
      <c r="G173" s="24"/>
      <c r="H173"/>
    </row>
    <row r="174" spans="1:8">
      <c r="A174" s="28" t="s">
        <v>421</v>
      </c>
      <c r="B174" s="7" t="s">
        <v>421</v>
      </c>
      <c r="C174" s="23"/>
      <c r="D174" s="41"/>
      <c r="E174" s="23"/>
      <c r="F174" s="23"/>
      <c r="G174" s="24"/>
      <c r="H174"/>
    </row>
    <row r="175" spans="1:8">
      <c r="A175" s="28" t="s">
        <v>422</v>
      </c>
      <c r="B175" s="7" t="s">
        <v>422</v>
      </c>
      <c r="C175" s="23"/>
      <c r="D175" s="41"/>
      <c r="E175" s="23"/>
      <c r="F175" s="23"/>
      <c r="G175" s="24"/>
      <c r="H175"/>
    </row>
    <row r="176" spans="1:8">
      <c r="A176" s="28" t="s">
        <v>423</v>
      </c>
      <c r="B176" s="7" t="s">
        <v>423</v>
      </c>
      <c r="C176" s="23"/>
      <c r="D176" s="41"/>
      <c r="E176" s="23"/>
      <c r="F176" s="23"/>
      <c r="G176" s="24"/>
      <c r="H176"/>
    </row>
    <row r="177" spans="1:8">
      <c r="A177" s="28" t="s">
        <v>424</v>
      </c>
      <c r="B177" s="7" t="s">
        <v>424</v>
      </c>
      <c r="C177" s="23"/>
      <c r="D177" s="41"/>
      <c r="E177" s="23"/>
      <c r="F177" s="23"/>
      <c r="G177" s="24"/>
      <c r="H177"/>
    </row>
    <row r="178" spans="1:8">
      <c r="A178" s="28" t="s">
        <v>425</v>
      </c>
      <c r="B178" s="7" t="s">
        <v>425</v>
      </c>
      <c r="C178" s="23"/>
      <c r="D178" s="41"/>
      <c r="E178" s="23"/>
      <c r="F178" s="23"/>
      <c r="G178" s="24"/>
      <c r="H178"/>
    </row>
    <row r="179" spans="1:8">
      <c r="A179" s="28" t="s">
        <v>426</v>
      </c>
      <c r="B179" s="7" t="s">
        <v>426</v>
      </c>
      <c r="C179" s="23"/>
      <c r="D179" s="41"/>
      <c r="E179" s="23"/>
      <c r="F179" s="23"/>
      <c r="G179" s="24"/>
      <c r="H179"/>
    </row>
    <row r="180" spans="1:8">
      <c r="A180" s="28" t="s">
        <v>427</v>
      </c>
      <c r="B180" s="7" t="s">
        <v>427</v>
      </c>
      <c r="C180" s="23"/>
      <c r="D180" s="41"/>
      <c r="E180" s="23"/>
      <c r="F180" s="23"/>
      <c r="G180" s="24"/>
      <c r="H180"/>
    </row>
    <row r="181" spans="1:8">
      <c r="A181" s="28" t="s">
        <v>428</v>
      </c>
      <c r="B181" s="7" t="s">
        <v>428</v>
      </c>
      <c r="C181" s="23"/>
      <c r="D181" s="41"/>
      <c r="E181" s="23"/>
      <c r="F181" s="23"/>
      <c r="G181" s="24"/>
      <c r="H181"/>
    </row>
    <row r="182" spans="1:8">
      <c r="A182" s="28" t="s">
        <v>429</v>
      </c>
      <c r="B182" s="7" t="s">
        <v>429</v>
      </c>
      <c r="C182" s="23"/>
      <c r="D182" s="41"/>
      <c r="E182" s="23"/>
      <c r="F182" s="23"/>
      <c r="G182" s="24"/>
      <c r="H182"/>
    </row>
    <row r="183" spans="1:8">
      <c r="A183" s="28" t="s">
        <v>430</v>
      </c>
      <c r="B183" s="7" t="s">
        <v>430</v>
      </c>
      <c r="C183" s="23"/>
      <c r="D183" s="41"/>
      <c r="E183" s="23"/>
      <c r="F183" s="23"/>
      <c r="G183" s="24"/>
      <c r="H183"/>
    </row>
    <row r="184" spans="1:8">
      <c r="A184" s="28" t="s">
        <v>431</v>
      </c>
      <c r="B184" s="7" t="s">
        <v>431</v>
      </c>
      <c r="C184" s="23"/>
      <c r="D184" s="41"/>
      <c r="E184" s="23"/>
      <c r="F184" s="23"/>
      <c r="G184" s="24"/>
      <c r="H184"/>
    </row>
    <row r="185" spans="1:8">
      <c r="A185" s="28" t="s">
        <v>432</v>
      </c>
      <c r="B185" s="7" t="s">
        <v>432</v>
      </c>
      <c r="C185" s="23"/>
      <c r="D185" s="41"/>
      <c r="E185" s="23"/>
      <c r="F185" s="23"/>
      <c r="G185" s="24"/>
      <c r="H185"/>
    </row>
    <row r="186" spans="1:8">
      <c r="A186" s="28" t="s">
        <v>433</v>
      </c>
      <c r="B186" s="7" t="s">
        <v>433</v>
      </c>
      <c r="C186" s="23"/>
      <c r="D186" s="41"/>
      <c r="E186" s="23"/>
      <c r="F186" s="23"/>
      <c r="G186" s="24"/>
      <c r="H186"/>
    </row>
    <row r="187" spans="1:8">
      <c r="A187" s="28" t="s">
        <v>434</v>
      </c>
      <c r="B187" s="7" t="s">
        <v>434</v>
      </c>
      <c r="C187" s="23"/>
      <c r="D187" s="41"/>
      <c r="E187" s="23"/>
      <c r="F187" s="23"/>
      <c r="G187" s="24"/>
      <c r="H187"/>
    </row>
    <row r="188" spans="1:8">
      <c r="A188" s="28" t="s">
        <v>435</v>
      </c>
      <c r="B188" s="7" t="s">
        <v>435</v>
      </c>
      <c r="C188" s="23"/>
      <c r="D188" s="41"/>
      <c r="E188" s="23"/>
      <c r="F188" s="23"/>
      <c r="G188" s="24"/>
      <c r="H188"/>
    </row>
    <row r="189" spans="1:8">
      <c r="A189" s="28" t="s">
        <v>436</v>
      </c>
      <c r="B189" s="7" t="s">
        <v>436</v>
      </c>
      <c r="C189" s="23"/>
      <c r="D189" s="41"/>
      <c r="E189" s="23"/>
      <c r="F189" s="23"/>
      <c r="G189" s="24"/>
      <c r="H189"/>
    </row>
    <row r="190" spans="1:8" ht="15" thickBot="1">
      <c r="A190" s="29" t="s">
        <v>437</v>
      </c>
      <c r="B190" s="10" t="s">
        <v>437</v>
      </c>
      <c r="C190" s="25"/>
      <c r="D190" s="42"/>
      <c r="E190" s="25"/>
      <c r="F190" s="25"/>
      <c r="G190" s="26"/>
      <c r="H190"/>
    </row>
    <row r="191" spans="1:8">
      <c r="H191"/>
    </row>
    <row r="192" spans="1:8">
      <c r="H192"/>
    </row>
  </sheetData>
  <mergeCells count="11">
    <mergeCell ref="A96:G96"/>
    <mergeCell ref="A1:G1"/>
    <mergeCell ref="A3:G3"/>
    <mergeCell ref="A10:G10"/>
    <mergeCell ref="A49:G49"/>
    <mergeCell ref="A59:G59"/>
    <mergeCell ref="A118:G118"/>
    <mergeCell ref="A126:G126"/>
    <mergeCell ref="A145:G145"/>
    <mergeCell ref="A153:G153"/>
    <mergeCell ref="A157:G15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opLeftCell="A87" workbookViewId="0">
      <selection activeCell="D99" sqref="D99"/>
    </sheetView>
  </sheetViews>
  <sheetFormatPr defaultRowHeight="14.25"/>
  <cols>
    <col min="1" max="1" width="17.875" customWidth="1"/>
    <col min="2" max="2" width="19.125" customWidth="1"/>
    <col min="4" max="4" width="16" customWidth="1"/>
    <col min="5" max="5" width="11.75" bestFit="1" customWidth="1"/>
  </cols>
  <sheetData>
    <row r="1" spans="1:7">
      <c r="A1" t="s">
        <v>447</v>
      </c>
      <c r="D1" t="s">
        <v>448</v>
      </c>
    </row>
    <row r="2" spans="1:7">
      <c r="A2" s="7" t="s">
        <v>27</v>
      </c>
      <c r="B2" s="6" t="s">
        <v>28</v>
      </c>
      <c r="D2" t="s">
        <v>10</v>
      </c>
      <c r="E2" t="s">
        <v>11</v>
      </c>
      <c r="G2" t="e">
        <f>VLOOKUP(D:D,A1:D104,2,0)</f>
        <v>#N/A</v>
      </c>
    </row>
    <row r="3" spans="1:7">
      <c r="A3" s="7" t="s">
        <v>32</v>
      </c>
      <c r="B3" s="6" t="s">
        <v>33</v>
      </c>
      <c r="D3" t="s">
        <v>16</v>
      </c>
      <c r="E3" t="s">
        <v>17</v>
      </c>
      <c r="G3" t="e">
        <f>VLOOKUP(D:D,A3:D105,2,0)</f>
        <v>#N/A</v>
      </c>
    </row>
    <row r="4" spans="1:7">
      <c r="A4" s="7" t="s">
        <v>36</v>
      </c>
      <c r="B4" s="6" t="s">
        <v>37</v>
      </c>
      <c r="D4" t="s">
        <v>39</v>
      </c>
      <c r="E4" t="s">
        <v>40</v>
      </c>
      <c r="G4" t="str">
        <f>VLOOKUP(D:D,A4:D106,2,0)</f>
        <v>172.16.0.35</v>
      </c>
    </row>
    <row r="5" spans="1:7">
      <c r="A5" s="7" t="s">
        <v>39</v>
      </c>
      <c r="B5" s="6" t="s">
        <v>40</v>
      </c>
      <c r="D5" t="s">
        <v>54</v>
      </c>
      <c r="E5" t="s">
        <v>55</v>
      </c>
      <c r="G5" t="str">
        <f>VLOOKUP(D:D,A5:D107,2,0)</f>
        <v>172.16.1.33</v>
      </c>
    </row>
    <row r="6" spans="1:7">
      <c r="A6" s="7" t="s">
        <v>42</v>
      </c>
      <c r="B6" s="6" t="s">
        <v>43</v>
      </c>
      <c r="D6" t="s">
        <v>32</v>
      </c>
      <c r="E6" t="s">
        <v>33</v>
      </c>
      <c r="G6" t="str">
        <f t="shared" ref="G6:G20" si="0">VLOOKUP(D:D,A1:D108,2,0)</f>
        <v>172.16.1.21</v>
      </c>
    </row>
    <row r="7" spans="1:7">
      <c r="A7" s="7" t="s">
        <v>45</v>
      </c>
      <c r="B7" s="6" t="s">
        <v>46</v>
      </c>
      <c r="D7" t="s">
        <v>42</v>
      </c>
      <c r="E7" t="s">
        <v>43</v>
      </c>
      <c r="G7" t="str">
        <f t="shared" si="0"/>
        <v>172.16.1.25</v>
      </c>
    </row>
    <row r="8" spans="1:7">
      <c r="A8" s="7" t="s">
        <v>48</v>
      </c>
      <c r="B8" s="6" t="s">
        <v>49</v>
      </c>
      <c r="D8" t="s">
        <v>45</v>
      </c>
      <c r="E8" t="s">
        <v>46</v>
      </c>
      <c r="G8" t="str">
        <f t="shared" si="0"/>
        <v>172.16.1.27</v>
      </c>
    </row>
    <row r="9" spans="1:7">
      <c r="A9" s="7" t="s">
        <v>51</v>
      </c>
      <c r="B9" s="6" t="s">
        <v>52</v>
      </c>
      <c r="D9" t="s">
        <v>51</v>
      </c>
      <c r="E9" t="s">
        <v>52</v>
      </c>
      <c r="G9" t="str">
        <f t="shared" si="0"/>
        <v>172.16.1.31</v>
      </c>
    </row>
    <row r="10" spans="1:7">
      <c r="A10" s="7" t="s">
        <v>54</v>
      </c>
      <c r="B10" s="6" t="s">
        <v>55</v>
      </c>
      <c r="D10" t="s">
        <v>57</v>
      </c>
      <c r="E10" t="s">
        <v>58</v>
      </c>
      <c r="G10" t="str">
        <f t="shared" si="0"/>
        <v>172.16.0.37</v>
      </c>
    </row>
    <row r="11" spans="1:7">
      <c r="A11" s="7" t="s">
        <v>57</v>
      </c>
      <c r="B11" s="6" t="s">
        <v>58</v>
      </c>
      <c r="D11" t="s">
        <v>89</v>
      </c>
      <c r="E11" t="s">
        <v>90</v>
      </c>
      <c r="G11" t="str">
        <f t="shared" si="0"/>
        <v>172.16.1.35</v>
      </c>
    </row>
    <row r="12" spans="1:7">
      <c r="A12" s="7" t="s">
        <v>61</v>
      </c>
      <c r="B12" s="6" t="s">
        <v>62</v>
      </c>
      <c r="D12" t="s">
        <v>92</v>
      </c>
      <c r="E12" t="s">
        <v>93</v>
      </c>
      <c r="G12" t="str">
        <f t="shared" si="0"/>
        <v>172.16.1.37</v>
      </c>
    </row>
    <row r="13" spans="1:7">
      <c r="A13" s="7" t="s">
        <v>65</v>
      </c>
      <c r="B13" s="6" t="s">
        <v>66</v>
      </c>
      <c r="D13" t="s">
        <v>73</v>
      </c>
      <c r="E13" t="s">
        <v>74</v>
      </c>
      <c r="G13" t="str">
        <f t="shared" si="0"/>
        <v>172.16.0.45</v>
      </c>
    </row>
    <row r="14" spans="1:7">
      <c r="A14" s="7" t="s">
        <v>69</v>
      </c>
      <c r="B14" s="6" t="s">
        <v>70</v>
      </c>
      <c r="D14" t="s">
        <v>118</v>
      </c>
      <c r="E14" t="s">
        <v>119</v>
      </c>
      <c r="G14" t="str">
        <f t="shared" si="0"/>
        <v>172.16.1.51</v>
      </c>
    </row>
    <row r="15" spans="1:7">
      <c r="A15" s="7" t="s">
        <v>73</v>
      </c>
      <c r="B15" s="6" t="s">
        <v>74</v>
      </c>
      <c r="D15" t="s">
        <v>121</v>
      </c>
      <c r="E15" t="s">
        <v>122</v>
      </c>
      <c r="G15" t="str">
        <f t="shared" si="0"/>
        <v>172.16.1.53</v>
      </c>
    </row>
    <row r="16" spans="1:7">
      <c r="A16" s="7" t="s">
        <v>77</v>
      </c>
      <c r="B16" s="6" t="s">
        <v>78</v>
      </c>
      <c r="D16" t="s">
        <v>81</v>
      </c>
      <c r="E16" t="s">
        <v>82</v>
      </c>
      <c r="G16" t="str">
        <f t="shared" si="0"/>
        <v>172.16.0.49</v>
      </c>
    </row>
    <row r="17" spans="1:7">
      <c r="A17" s="7" t="s">
        <v>81</v>
      </c>
      <c r="B17" s="6" t="s">
        <v>82</v>
      </c>
      <c r="D17" t="s">
        <v>127</v>
      </c>
      <c r="E17" t="s">
        <v>128</v>
      </c>
      <c r="G17" t="str">
        <f t="shared" si="0"/>
        <v>172.16.1.57</v>
      </c>
    </row>
    <row r="18" spans="1:7">
      <c r="A18" s="7" t="s">
        <v>85</v>
      </c>
      <c r="B18" s="6" t="s">
        <v>86</v>
      </c>
      <c r="D18" t="s">
        <v>130</v>
      </c>
      <c r="E18" t="s">
        <v>131</v>
      </c>
      <c r="G18" t="str">
        <f t="shared" si="0"/>
        <v>172.16.1.65</v>
      </c>
    </row>
    <row r="19" spans="1:7">
      <c r="A19" s="7" t="s">
        <v>89</v>
      </c>
      <c r="B19" s="6" t="s">
        <v>90</v>
      </c>
      <c r="D19" t="s">
        <v>19</v>
      </c>
      <c r="E19" t="s">
        <v>20</v>
      </c>
      <c r="G19" t="e">
        <f t="shared" si="0"/>
        <v>#N/A</v>
      </c>
    </row>
    <row r="20" spans="1:7">
      <c r="A20" s="7" t="s">
        <v>92</v>
      </c>
      <c r="B20" s="6" t="s">
        <v>93</v>
      </c>
      <c r="D20" t="s">
        <v>23</v>
      </c>
      <c r="E20" t="s">
        <v>24</v>
      </c>
      <c r="G20" t="e">
        <f t="shared" si="0"/>
        <v>#N/A</v>
      </c>
    </row>
    <row r="21" spans="1:7">
      <c r="A21" s="7" t="s">
        <v>95</v>
      </c>
      <c r="B21" s="6" t="s">
        <v>96</v>
      </c>
      <c r="D21" t="s">
        <v>27</v>
      </c>
      <c r="E21" t="s">
        <v>28</v>
      </c>
      <c r="G21" t="str">
        <f t="shared" ref="G21:G57" si="1">VLOOKUP(D:D,A1:D123,2,0)</f>
        <v>172.16.0.33</v>
      </c>
    </row>
    <row r="22" spans="1:7">
      <c r="A22" s="7" t="s">
        <v>98</v>
      </c>
      <c r="B22" s="6" t="s">
        <v>99</v>
      </c>
      <c r="D22" t="s">
        <v>36</v>
      </c>
      <c r="E22" t="s">
        <v>37</v>
      </c>
      <c r="G22" t="str">
        <f t="shared" si="1"/>
        <v>172.16.1.23</v>
      </c>
    </row>
    <row r="23" spans="1:7">
      <c r="A23" s="7" t="s">
        <v>101</v>
      </c>
      <c r="B23" s="6" t="s">
        <v>102</v>
      </c>
      <c r="D23" t="s">
        <v>48</v>
      </c>
      <c r="E23" t="s">
        <v>49</v>
      </c>
      <c r="G23" t="str">
        <f t="shared" si="1"/>
        <v>172.16.1.29</v>
      </c>
    </row>
    <row r="24" spans="1:7">
      <c r="A24" s="7" t="s">
        <v>104</v>
      </c>
      <c r="B24" s="6" t="s">
        <v>105</v>
      </c>
      <c r="D24" t="s">
        <v>61</v>
      </c>
      <c r="E24" t="s">
        <v>62</v>
      </c>
      <c r="G24" t="str">
        <f t="shared" si="1"/>
        <v>172.16.0.39</v>
      </c>
    </row>
    <row r="25" spans="1:7">
      <c r="A25" s="7" t="s">
        <v>107</v>
      </c>
      <c r="B25" s="6" t="s">
        <v>108</v>
      </c>
      <c r="D25" t="s">
        <v>95</v>
      </c>
      <c r="E25" t="s">
        <v>96</v>
      </c>
      <c r="G25" t="str">
        <f t="shared" si="1"/>
        <v>172.16.1.39</v>
      </c>
    </row>
    <row r="26" spans="1:7">
      <c r="A26" s="7" t="s">
        <v>110</v>
      </c>
      <c r="B26" s="6" t="s">
        <v>111</v>
      </c>
      <c r="D26" t="s">
        <v>98</v>
      </c>
      <c r="E26" t="s">
        <v>99</v>
      </c>
      <c r="G26" t="str">
        <f t="shared" si="1"/>
        <v>172.16.1.41</v>
      </c>
    </row>
    <row r="27" spans="1:7">
      <c r="A27" s="7" t="s">
        <v>113</v>
      </c>
      <c r="B27" s="6" t="s">
        <v>114</v>
      </c>
      <c r="D27" t="s">
        <v>65</v>
      </c>
      <c r="E27" t="s">
        <v>66</v>
      </c>
      <c r="G27" t="str">
        <f t="shared" si="1"/>
        <v>172.16.0.41</v>
      </c>
    </row>
    <row r="28" spans="1:7">
      <c r="A28" s="7" t="s">
        <v>440</v>
      </c>
      <c r="B28" s="6" t="s">
        <v>116</v>
      </c>
      <c r="D28" t="s">
        <v>101</v>
      </c>
      <c r="E28" t="s">
        <v>102</v>
      </c>
      <c r="G28" t="str">
        <f t="shared" si="1"/>
        <v>172.16.1.43</v>
      </c>
    </row>
    <row r="29" spans="1:7">
      <c r="A29" s="7" t="s">
        <v>118</v>
      </c>
      <c r="B29" s="6" t="s">
        <v>119</v>
      </c>
      <c r="D29" t="s">
        <v>104</v>
      </c>
      <c r="E29" t="s">
        <v>105</v>
      </c>
      <c r="G29" t="str">
        <f t="shared" si="1"/>
        <v>172.16.1.45</v>
      </c>
    </row>
    <row r="30" spans="1:7">
      <c r="A30" s="7" t="s">
        <v>121</v>
      </c>
      <c r="B30" s="6" t="s">
        <v>122</v>
      </c>
      <c r="D30" t="s">
        <v>69</v>
      </c>
      <c r="E30" t="s">
        <v>70</v>
      </c>
      <c r="G30" t="str">
        <f t="shared" si="1"/>
        <v>172.16.0.43</v>
      </c>
    </row>
    <row r="31" spans="1:7">
      <c r="A31" s="7" t="s">
        <v>124</v>
      </c>
      <c r="B31" s="6" t="s">
        <v>125</v>
      </c>
      <c r="D31" t="s">
        <v>107</v>
      </c>
      <c r="E31" t="s">
        <v>108</v>
      </c>
      <c r="G31" t="str">
        <f t="shared" si="1"/>
        <v>172.16.1.47</v>
      </c>
    </row>
    <row r="32" spans="1:7">
      <c r="A32" s="7" t="s">
        <v>127</v>
      </c>
      <c r="B32" s="6" t="s">
        <v>128</v>
      </c>
      <c r="D32" t="s">
        <v>110</v>
      </c>
      <c r="E32" t="s">
        <v>111</v>
      </c>
      <c r="G32" t="str">
        <f t="shared" si="1"/>
        <v>172.16.1.49</v>
      </c>
    </row>
    <row r="33" spans="1:7">
      <c r="A33" s="7" t="s">
        <v>130</v>
      </c>
      <c r="B33" s="6" t="s">
        <v>131</v>
      </c>
      <c r="D33" t="s">
        <v>113</v>
      </c>
      <c r="E33" t="s">
        <v>114</v>
      </c>
      <c r="G33" t="str">
        <f t="shared" si="1"/>
        <v>172.16.1.61</v>
      </c>
    </row>
    <row r="34" spans="1:7">
      <c r="A34" s="7" t="s">
        <v>133</v>
      </c>
      <c r="B34" s="6" t="s">
        <v>134</v>
      </c>
      <c r="D34" t="s">
        <v>440</v>
      </c>
      <c r="E34" t="s">
        <v>116</v>
      </c>
      <c r="G34" t="str">
        <f t="shared" si="1"/>
        <v>172.16.1.67</v>
      </c>
    </row>
    <row r="35" spans="1:7">
      <c r="A35" s="7" t="s">
        <v>136</v>
      </c>
      <c r="B35" s="6" t="s">
        <v>137</v>
      </c>
      <c r="D35" t="s">
        <v>77</v>
      </c>
      <c r="E35" t="s">
        <v>78</v>
      </c>
      <c r="G35" t="str">
        <f t="shared" si="1"/>
        <v>172.16.0.47</v>
      </c>
    </row>
    <row r="36" spans="1:7">
      <c r="A36" s="7" t="s">
        <v>139</v>
      </c>
      <c r="B36" s="6" t="s">
        <v>140</v>
      </c>
      <c r="D36" t="s">
        <v>124</v>
      </c>
      <c r="E36" t="s">
        <v>125</v>
      </c>
      <c r="G36" t="str">
        <f t="shared" si="1"/>
        <v>172.16.1.55</v>
      </c>
    </row>
    <row r="37" spans="1:7" ht="15" thickBot="1">
      <c r="A37" s="10" t="s">
        <v>142</v>
      </c>
      <c r="B37" s="9" t="s">
        <v>143</v>
      </c>
      <c r="D37" t="s">
        <v>85</v>
      </c>
      <c r="E37" t="s">
        <v>86</v>
      </c>
      <c r="G37" t="str">
        <f t="shared" si="1"/>
        <v>172.16.0.51</v>
      </c>
    </row>
    <row r="38" spans="1:7">
      <c r="A38" s="7" t="s">
        <v>146</v>
      </c>
      <c r="B38" s="6" t="s">
        <v>438</v>
      </c>
      <c r="D38" t="s">
        <v>133</v>
      </c>
      <c r="E38" t="s">
        <v>134</v>
      </c>
      <c r="G38" t="str">
        <f t="shared" si="1"/>
        <v>172.16.1.59</v>
      </c>
    </row>
    <row r="39" spans="1:7">
      <c r="A39" s="7" t="s">
        <v>148</v>
      </c>
      <c r="B39" s="6" t="s">
        <v>439</v>
      </c>
      <c r="D39" t="s">
        <v>136</v>
      </c>
      <c r="E39" t="s">
        <v>137</v>
      </c>
      <c r="G39" t="str">
        <f t="shared" si="1"/>
        <v>172.16.1.63</v>
      </c>
    </row>
    <row r="40" spans="1:7">
      <c r="A40" s="7" t="s">
        <v>150</v>
      </c>
      <c r="B40" s="6" t="s">
        <v>151</v>
      </c>
      <c r="D40" t="s">
        <v>146</v>
      </c>
      <c r="E40" t="s">
        <v>438</v>
      </c>
      <c r="G40" t="str">
        <f t="shared" si="1"/>
        <v>172.16.0.31</v>
      </c>
    </row>
    <row r="41" spans="1:7">
      <c r="A41" s="7" t="s">
        <v>153</v>
      </c>
      <c r="B41" s="6" t="s">
        <v>154</v>
      </c>
      <c r="D41" t="s">
        <v>148</v>
      </c>
      <c r="E41" t="s">
        <v>439</v>
      </c>
      <c r="G41" t="str">
        <f t="shared" si="1"/>
        <v>172.16.0.53</v>
      </c>
    </row>
    <row r="42" spans="1:7" ht="15" thickBot="1">
      <c r="A42" s="10" t="s">
        <v>156</v>
      </c>
      <c r="B42" s="9" t="s">
        <v>157</v>
      </c>
      <c r="D42" t="s">
        <v>150</v>
      </c>
      <c r="E42" t="s">
        <v>151</v>
      </c>
      <c r="G42" t="str">
        <f t="shared" si="1"/>
        <v>172.16.0.81</v>
      </c>
    </row>
    <row r="43" spans="1:7">
      <c r="A43" s="7" t="s">
        <v>159</v>
      </c>
      <c r="B43" s="7" t="s">
        <v>160</v>
      </c>
      <c r="D43" t="s">
        <v>153</v>
      </c>
      <c r="E43" t="s">
        <v>154</v>
      </c>
      <c r="G43" t="str">
        <f t="shared" si="1"/>
        <v>172.16.0.83</v>
      </c>
    </row>
    <row r="44" spans="1:7">
      <c r="A44" s="7" t="s">
        <v>163</v>
      </c>
      <c r="B44" s="7" t="s">
        <v>164</v>
      </c>
      <c r="D44" t="s">
        <v>139</v>
      </c>
      <c r="E44" t="s">
        <v>445</v>
      </c>
      <c r="G44" t="str">
        <f t="shared" si="1"/>
        <v>172.16.1.198</v>
      </c>
    </row>
    <row r="45" spans="1:7">
      <c r="A45" s="7" t="s">
        <v>166</v>
      </c>
      <c r="B45" s="7" t="s">
        <v>167</v>
      </c>
      <c r="D45" t="s">
        <v>142</v>
      </c>
      <c r="E45" t="s">
        <v>446</v>
      </c>
      <c r="G45" t="str">
        <f t="shared" si="1"/>
        <v>172.16.1.71</v>
      </c>
    </row>
    <row r="46" spans="1:7">
      <c r="A46" s="7" t="s">
        <v>169</v>
      </c>
      <c r="B46" s="7" t="s">
        <v>170</v>
      </c>
      <c r="D46" t="s">
        <v>264</v>
      </c>
      <c r="E46" t="s">
        <v>265</v>
      </c>
      <c r="G46" t="str">
        <f t="shared" si="1"/>
        <v>172.16.0.201</v>
      </c>
    </row>
    <row r="47" spans="1:7">
      <c r="A47" s="7" t="s">
        <v>172</v>
      </c>
      <c r="B47" s="7" t="s">
        <v>173</v>
      </c>
      <c r="D47" t="s">
        <v>267</v>
      </c>
      <c r="E47" t="s">
        <v>268</v>
      </c>
      <c r="G47" t="str">
        <f t="shared" si="1"/>
        <v>172.16.0.202</v>
      </c>
    </row>
    <row r="48" spans="1:7">
      <c r="A48" s="7" t="s">
        <v>175</v>
      </c>
      <c r="B48" s="7" t="s">
        <v>176</v>
      </c>
      <c r="D48" t="s">
        <v>270</v>
      </c>
      <c r="E48" t="s">
        <v>271</v>
      </c>
      <c r="G48" t="str">
        <f t="shared" si="1"/>
        <v>172.16.2.203</v>
      </c>
    </row>
    <row r="49" spans="1:7">
      <c r="A49" s="7" t="s">
        <v>178</v>
      </c>
      <c r="B49" s="7" t="s">
        <v>179</v>
      </c>
      <c r="D49" t="s">
        <v>274</v>
      </c>
      <c r="E49" t="s">
        <v>275</v>
      </c>
      <c r="G49" t="str">
        <f t="shared" si="1"/>
        <v>172.16.2.204</v>
      </c>
    </row>
    <row r="50" spans="1:7">
      <c r="A50" s="7" t="s">
        <v>181</v>
      </c>
      <c r="B50" s="7" t="s">
        <v>182</v>
      </c>
      <c r="D50" t="s">
        <v>277</v>
      </c>
      <c r="E50" t="s">
        <v>278</v>
      </c>
      <c r="G50" t="str">
        <f t="shared" si="1"/>
        <v>172.16.2.205</v>
      </c>
    </row>
    <row r="51" spans="1:7">
      <c r="A51" s="7" t="s">
        <v>184</v>
      </c>
      <c r="B51" s="7" t="s">
        <v>185</v>
      </c>
      <c r="D51" t="s">
        <v>281</v>
      </c>
      <c r="E51" t="s">
        <v>282</v>
      </c>
      <c r="G51" t="str">
        <f t="shared" si="1"/>
        <v>172.16.2.206</v>
      </c>
    </row>
    <row r="52" spans="1:7">
      <c r="A52" s="7" t="s">
        <v>187</v>
      </c>
      <c r="B52" s="7" t="s">
        <v>188</v>
      </c>
      <c r="D52" t="s">
        <v>284</v>
      </c>
      <c r="E52" t="s">
        <v>285</v>
      </c>
      <c r="G52" t="str">
        <f t="shared" si="1"/>
        <v>172.16.2.207</v>
      </c>
    </row>
    <row r="53" spans="1:7">
      <c r="A53" s="7" t="s">
        <v>190</v>
      </c>
      <c r="B53" s="7" t="s">
        <v>191</v>
      </c>
      <c r="D53" t="s">
        <v>288</v>
      </c>
      <c r="E53" t="s">
        <v>289</v>
      </c>
      <c r="G53" t="str">
        <f t="shared" si="1"/>
        <v>172.16.2.208</v>
      </c>
    </row>
    <row r="54" spans="1:7">
      <c r="A54" s="7" t="s">
        <v>193</v>
      </c>
      <c r="B54" s="7" t="s">
        <v>194</v>
      </c>
      <c r="D54" t="s">
        <v>291</v>
      </c>
      <c r="E54" t="s">
        <v>292</v>
      </c>
      <c r="G54" t="str">
        <f t="shared" si="1"/>
        <v>172.16.0.209</v>
      </c>
    </row>
    <row r="55" spans="1:7">
      <c r="A55" s="7" t="s">
        <v>196</v>
      </c>
      <c r="B55" s="7" t="s">
        <v>197</v>
      </c>
      <c r="D55" t="s">
        <v>295</v>
      </c>
      <c r="E55" t="s">
        <v>296</v>
      </c>
      <c r="G55" t="str">
        <f t="shared" si="1"/>
        <v>172.16.0.210</v>
      </c>
    </row>
    <row r="56" spans="1:7">
      <c r="A56" s="7" t="s">
        <v>199</v>
      </c>
      <c r="B56" s="7" t="s">
        <v>200</v>
      </c>
      <c r="D56" t="s">
        <v>298</v>
      </c>
      <c r="E56" t="s">
        <v>299</v>
      </c>
      <c r="G56" t="str">
        <f t="shared" si="1"/>
        <v>172.16.2.211</v>
      </c>
    </row>
    <row r="57" spans="1:7">
      <c r="A57" s="7" t="s">
        <v>202</v>
      </c>
      <c r="B57" s="7" t="s">
        <v>203</v>
      </c>
      <c r="D57" t="s">
        <v>302</v>
      </c>
      <c r="E57" t="s">
        <v>303</v>
      </c>
      <c r="G57" t="str">
        <f t="shared" si="1"/>
        <v>172.16.2.212</v>
      </c>
    </row>
    <row r="58" spans="1:7">
      <c r="A58" s="7" t="s">
        <v>205</v>
      </c>
      <c r="B58" s="7" t="s">
        <v>206</v>
      </c>
      <c r="D58" t="s">
        <v>305</v>
      </c>
      <c r="E58" t="s">
        <v>306</v>
      </c>
      <c r="G58" t="str">
        <f t="shared" ref="G58:G64" si="2">VLOOKUP(D:D,A53:D160,2,0)</f>
        <v>172.16.2.213</v>
      </c>
    </row>
    <row r="59" spans="1:7">
      <c r="A59" s="7" t="s">
        <v>208</v>
      </c>
      <c r="B59" s="7" t="s">
        <v>209</v>
      </c>
      <c r="D59" t="s">
        <v>309</v>
      </c>
      <c r="E59" t="s">
        <v>310</v>
      </c>
      <c r="G59" t="str">
        <f t="shared" si="2"/>
        <v>172.16.2.214</v>
      </c>
    </row>
    <row r="60" spans="1:7">
      <c r="A60" s="7" t="s">
        <v>211</v>
      </c>
      <c r="B60" s="7" t="s">
        <v>212</v>
      </c>
      <c r="D60" t="s">
        <v>312</v>
      </c>
      <c r="E60" t="s">
        <v>313</v>
      </c>
      <c r="G60" t="str">
        <f t="shared" si="2"/>
        <v>172.16.2.215</v>
      </c>
    </row>
    <row r="61" spans="1:7">
      <c r="A61" s="7" t="s">
        <v>214</v>
      </c>
      <c r="B61" s="7" t="s">
        <v>215</v>
      </c>
      <c r="D61" t="s">
        <v>316</v>
      </c>
      <c r="E61" t="s">
        <v>317</v>
      </c>
      <c r="G61" t="str">
        <f t="shared" si="2"/>
        <v>172.16.2.216</v>
      </c>
    </row>
    <row r="62" spans="1:7">
      <c r="A62" s="7" t="s">
        <v>217</v>
      </c>
      <c r="B62" s="7" t="s">
        <v>218</v>
      </c>
      <c r="D62" t="s">
        <v>319</v>
      </c>
      <c r="E62" t="s">
        <v>320</v>
      </c>
      <c r="G62" t="str">
        <f t="shared" si="2"/>
        <v>172.16.0.217</v>
      </c>
    </row>
    <row r="63" spans="1:7">
      <c r="A63" s="7" t="s">
        <v>220</v>
      </c>
      <c r="B63" s="7" t="s">
        <v>221</v>
      </c>
      <c r="D63" t="s">
        <v>323</v>
      </c>
      <c r="E63" t="s">
        <v>324</v>
      </c>
      <c r="G63" t="str">
        <f t="shared" si="2"/>
        <v>172.16.0.218</v>
      </c>
    </row>
    <row r="64" spans="1:7">
      <c r="A64" s="7" t="s">
        <v>223</v>
      </c>
      <c r="B64" s="7" t="s">
        <v>224</v>
      </c>
      <c r="D64" t="s">
        <v>326</v>
      </c>
      <c r="E64" t="s">
        <v>327</v>
      </c>
      <c r="G64" t="str">
        <f t="shared" si="2"/>
        <v>172.16.0.219</v>
      </c>
    </row>
    <row r="65" spans="1:7">
      <c r="A65" s="7" t="s">
        <v>226</v>
      </c>
      <c r="B65" s="7" t="s">
        <v>227</v>
      </c>
      <c r="D65" t="s">
        <v>156</v>
      </c>
      <c r="E65" t="s">
        <v>157</v>
      </c>
      <c r="G65" t="str">
        <f t="shared" ref="G65:G99" si="3">VLOOKUP(D:D,A1:D167,2,0)</f>
        <v>172.16.0.220</v>
      </c>
    </row>
    <row r="66" spans="1:7">
      <c r="A66" s="7" t="s">
        <v>229</v>
      </c>
      <c r="B66" s="7" t="s">
        <v>230</v>
      </c>
      <c r="D66" t="s">
        <v>202</v>
      </c>
      <c r="E66" t="s">
        <v>203</v>
      </c>
      <c r="G66" t="str">
        <f t="shared" si="3"/>
        <v>172.16.4.67</v>
      </c>
    </row>
    <row r="67" spans="1:7">
      <c r="A67" s="7" t="s">
        <v>232</v>
      </c>
      <c r="B67" s="7" t="s">
        <v>233</v>
      </c>
      <c r="D67" t="s">
        <v>205</v>
      </c>
      <c r="E67" t="s">
        <v>206</v>
      </c>
      <c r="G67" t="str">
        <f t="shared" si="3"/>
        <v>172.16.4.68</v>
      </c>
    </row>
    <row r="68" spans="1:7">
      <c r="A68" s="7" t="s">
        <v>235</v>
      </c>
      <c r="B68" s="7" t="s">
        <v>236</v>
      </c>
      <c r="D68" t="s">
        <v>208</v>
      </c>
      <c r="E68" t="s">
        <v>209</v>
      </c>
      <c r="G68" t="str">
        <f t="shared" si="3"/>
        <v>172.16.4.69</v>
      </c>
    </row>
    <row r="69" spans="1:7">
      <c r="A69" s="7" t="s">
        <v>238</v>
      </c>
      <c r="B69" s="7" t="s">
        <v>239</v>
      </c>
      <c r="D69" t="s">
        <v>211</v>
      </c>
      <c r="E69" t="s">
        <v>212</v>
      </c>
      <c r="G69" t="str">
        <f t="shared" si="3"/>
        <v>172.16.4.70</v>
      </c>
    </row>
    <row r="70" spans="1:7">
      <c r="A70" s="7" t="s">
        <v>241</v>
      </c>
      <c r="B70" s="7" t="s">
        <v>242</v>
      </c>
      <c r="D70" t="s">
        <v>214</v>
      </c>
      <c r="E70" t="s">
        <v>215</v>
      </c>
      <c r="G70" t="str">
        <f t="shared" si="3"/>
        <v>172.16.4.71</v>
      </c>
    </row>
    <row r="71" spans="1:7">
      <c r="A71" s="7" t="s">
        <v>244</v>
      </c>
      <c r="B71" s="7" t="s">
        <v>245</v>
      </c>
      <c r="D71" t="s">
        <v>217</v>
      </c>
      <c r="E71" t="s">
        <v>218</v>
      </c>
      <c r="G71" t="str">
        <f t="shared" si="3"/>
        <v>172.16.4.72</v>
      </c>
    </row>
    <row r="72" spans="1:7">
      <c r="A72" s="7" t="s">
        <v>247</v>
      </c>
      <c r="B72" s="7" t="s">
        <v>248</v>
      </c>
      <c r="D72" t="s">
        <v>220</v>
      </c>
      <c r="E72" t="s">
        <v>221</v>
      </c>
      <c r="G72" t="str">
        <f t="shared" si="3"/>
        <v>172.16.4.73</v>
      </c>
    </row>
    <row r="73" spans="1:7">
      <c r="A73" s="7" t="s">
        <v>250</v>
      </c>
      <c r="B73" s="7" t="s">
        <v>251</v>
      </c>
      <c r="D73" t="s">
        <v>223</v>
      </c>
      <c r="E73" t="s">
        <v>224</v>
      </c>
      <c r="G73" t="str">
        <f t="shared" si="3"/>
        <v>172.16.4.74</v>
      </c>
    </row>
    <row r="74" spans="1:7">
      <c r="A74" s="7" t="s">
        <v>253</v>
      </c>
      <c r="B74" s="7" t="s">
        <v>254</v>
      </c>
      <c r="D74" t="s">
        <v>226</v>
      </c>
      <c r="E74" t="s">
        <v>227</v>
      </c>
      <c r="G74" t="str">
        <f t="shared" si="3"/>
        <v>172.16.4.75</v>
      </c>
    </row>
    <row r="75" spans="1:7">
      <c r="A75" s="7" t="s">
        <v>256</v>
      </c>
      <c r="B75" s="7" t="s">
        <v>257</v>
      </c>
      <c r="D75" t="s">
        <v>229</v>
      </c>
      <c r="E75" t="s">
        <v>230</v>
      </c>
      <c r="G75" t="str">
        <f t="shared" si="3"/>
        <v>172.16.4.76</v>
      </c>
    </row>
    <row r="76" spans="1:7" ht="15" thickBot="1">
      <c r="A76" s="10" t="s">
        <v>259</v>
      </c>
      <c r="B76" s="10" t="s">
        <v>260</v>
      </c>
      <c r="D76" t="s">
        <v>232</v>
      </c>
      <c r="E76" t="s">
        <v>233</v>
      </c>
      <c r="G76" t="str">
        <f t="shared" si="3"/>
        <v>172.16.4.77</v>
      </c>
    </row>
    <row r="77" spans="1:7">
      <c r="A77" s="7" t="s">
        <v>264</v>
      </c>
      <c r="B77" s="7" t="s">
        <v>265</v>
      </c>
      <c r="D77" t="s">
        <v>235</v>
      </c>
      <c r="E77" t="s">
        <v>236</v>
      </c>
      <c r="G77" t="str">
        <f t="shared" si="3"/>
        <v>172.16.4.78</v>
      </c>
    </row>
    <row r="78" spans="1:7">
      <c r="A78" s="7" t="s">
        <v>267</v>
      </c>
      <c r="B78" s="7" t="s">
        <v>268</v>
      </c>
      <c r="D78" t="s">
        <v>238</v>
      </c>
      <c r="E78" t="s">
        <v>239</v>
      </c>
      <c r="G78" t="str">
        <f t="shared" si="3"/>
        <v>172.16.4.79</v>
      </c>
    </row>
    <row r="79" spans="1:7">
      <c r="A79" s="7" t="s">
        <v>270</v>
      </c>
      <c r="B79" s="7" t="s">
        <v>271</v>
      </c>
      <c r="D79" t="s">
        <v>241</v>
      </c>
      <c r="E79" t="s">
        <v>242</v>
      </c>
      <c r="G79" t="str">
        <f t="shared" si="3"/>
        <v>172.16.4.80</v>
      </c>
    </row>
    <row r="80" spans="1:7">
      <c r="A80" s="7" t="s">
        <v>274</v>
      </c>
      <c r="B80" s="7" t="s">
        <v>275</v>
      </c>
      <c r="D80" t="s">
        <v>244</v>
      </c>
      <c r="E80" t="s">
        <v>245</v>
      </c>
      <c r="G80" t="str">
        <f t="shared" si="3"/>
        <v>172.16.4.81</v>
      </c>
    </row>
    <row r="81" spans="1:7">
      <c r="A81" s="7" t="s">
        <v>277</v>
      </c>
      <c r="B81" s="7" t="s">
        <v>278</v>
      </c>
      <c r="D81" t="s">
        <v>247</v>
      </c>
      <c r="E81" t="s">
        <v>248</v>
      </c>
      <c r="G81" t="str">
        <f t="shared" si="3"/>
        <v>172.16.4.82</v>
      </c>
    </row>
    <row r="82" spans="1:7">
      <c r="A82" s="7" t="s">
        <v>281</v>
      </c>
      <c r="B82" s="7" t="s">
        <v>282</v>
      </c>
      <c r="D82" t="s">
        <v>250</v>
      </c>
      <c r="E82" t="s">
        <v>251</v>
      </c>
      <c r="G82" t="str">
        <f t="shared" si="3"/>
        <v>172.16.4.89</v>
      </c>
    </row>
    <row r="83" spans="1:7">
      <c r="A83" s="7" t="s">
        <v>284</v>
      </c>
      <c r="B83" s="7" t="s">
        <v>285</v>
      </c>
      <c r="D83" t="s">
        <v>253</v>
      </c>
      <c r="E83" t="s">
        <v>254</v>
      </c>
      <c r="G83" t="str">
        <f t="shared" si="3"/>
        <v>172.16.4.90</v>
      </c>
    </row>
    <row r="84" spans="1:7">
      <c r="A84" s="7" t="s">
        <v>288</v>
      </c>
      <c r="B84" s="7" t="s">
        <v>289</v>
      </c>
      <c r="D84" t="s">
        <v>256</v>
      </c>
      <c r="E84" t="s">
        <v>257</v>
      </c>
      <c r="G84" t="str">
        <f t="shared" si="3"/>
        <v>172.16.4.93</v>
      </c>
    </row>
    <row r="85" spans="1:7">
      <c r="A85" s="7" t="s">
        <v>291</v>
      </c>
      <c r="B85" s="7" t="s">
        <v>292</v>
      </c>
      <c r="D85" t="s">
        <v>259</v>
      </c>
      <c r="E85" t="s">
        <v>260</v>
      </c>
      <c r="G85" t="str">
        <f t="shared" si="3"/>
        <v>172.16.4.94</v>
      </c>
    </row>
    <row r="86" spans="1:7">
      <c r="A86" s="7" t="s">
        <v>295</v>
      </c>
      <c r="B86" s="7" t="s">
        <v>296</v>
      </c>
      <c r="D86" t="s">
        <v>159</v>
      </c>
      <c r="E86" t="s">
        <v>160</v>
      </c>
      <c r="G86" t="str">
        <f t="shared" si="3"/>
        <v>172.16.4.61</v>
      </c>
    </row>
    <row r="87" spans="1:7">
      <c r="A87" s="7" t="s">
        <v>298</v>
      </c>
      <c r="B87" s="7" t="s">
        <v>299</v>
      </c>
      <c r="D87" t="s">
        <v>163</v>
      </c>
      <c r="E87" t="s">
        <v>164</v>
      </c>
      <c r="G87" t="str">
        <f t="shared" si="3"/>
        <v>172.16.4.62</v>
      </c>
    </row>
    <row r="88" spans="1:7">
      <c r="A88" s="7" t="s">
        <v>302</v>
      </c>
      <c r="B88" s="7" t="s">
        <v>303</v>
      </c>
      <c r="D88" t="s">
        <v>166</v>
      </c>
      <c r="E88" t="s">
        <v>167</v>
      </c>
      <c r="G88" t="str">
        <f t="shared" si="3"/>
        <v>172.16.4.63</v>
      </c>
    </row>
    <row r="89" spans="1:7">
      <c r="A89" s="7" t="s">
        <v>305</v>
      </c>
      <c r="B89" s="7" t="s">
        <v>306</v>
      </c>
      <c r="D89" t="s">
        <v>169</v>
      </c>
      <c r="E89" t="s">
        <v>170</v>
      </c>
      <c r="G89" t="str">
        <f t="shared" si="3"/>
        <v>172.16.4.64</v>
      </c>
    </row>
    <row r="90" spans="1:7">
      <c r="A90" s="7" t="s">
        <v>309</v>
      </c>
      <c r="B90" s="7" t="s">
        <v>310</v>
      </c>
      <c r="D90" t="s">
        <v>172</v>
      </c>
      <c r="E90" t="s">
        <v>173</v>
      </c>
      <c r="G90" t="str">
        <f t="shared" si="3"/>
        <v>172.16.4.65</v>
      </c>
    </row>
    <row r="91" spans="1:7">
      <c r="A91" s="7" t="s">
        <v>312</v>
      </c>
      <c r="B91" s="7" t="s">
        <v>313</v>
      </c>
      <c r="D91" t="s">
        <v>175</v>
      </c>
      <c r="E91" t="s">
        <v>176</v>
      </c>
      <c r="G91" t="str">
        <f t="shared" si="3"/>
        <v>172.16.4.66</v>
      </c>
    </row>
    <row r="92" spans="1:7">
      <c r="A92" s="7" t="s">
        <v>316</v>
      </c>
      <c r="B92" s="7" t="s">
        <v>317</v>
      </c>
      <c r="D92" t="s">
        <v>178</v>
      </c>
      <c r="E92" t="s">
        <v>179</v>
      </c>
      <c r="G92" t="str">
        <f t="shared" si="3"/>
        <v>172.16.4.83</v>
      </c>
    </row>
    <row r="93" spans="1:7">
      <c r="A93" s="7" t="s">
        <v>319</v>
      </c>
      <c r="B93" s="7" t="s">
        <v>320</v>
      </c>
      <c r="D93" t="s">
        <v>181</v>
      </c>
      <c r="E93" t="s">
        <v>182</v>
      </c>
      <c r="G93" t="str">
        <f t="shared" si="3"/>
        <v>172.16.4.84</v>
      </c>
    </row>
    <row r="94" spans="1:7">
      <c r="A94" s="7" t="s">
        <v>323</v>
      </c>
      <c r="B94" s="7" t="s">
        <v>324</v>
      </c>
      <c r="D94" t="s">
        <v>184</v>
      </c>
      <c r="E94" t="s">
        <v>185</v>
      </c>
      <c r="G94" t="str">
        <f t="shared" si="3"/>
        <v>172.16.4.85</v>
      </c>
    </row>
    <row r="95" spans="1:7" ht="15" thickBot="1">
      <c r="A95" s="10" t="s">
        <v>326</v>
      </c>
      <c r="B95" s="10" t="s">
        <v>327</v>
      </c>
      <c r="D95" t="s">
        <v>187</v>
      </c>
      <c r="E95" t="s">
        <v>188</v>
      </c>
      <c r="G95" t="str">
        <f t="shared" si="3"/>
        <v>172.16.4.86</v>
      </c>
    </row>
    <row r="96" spans="1:7">
      <c r="A96" s="7" t="s">
        <v>331</v>
      </c>
      <c r="B96" s="7" t="s">
        <v>332</v>
      </c>
      <c r="D96" t="s">
        <v>190</v>
      </c>
      <c r="E96" t="s">
        <v>191</v>
      </c>
      <c r="G96" t="str">
        <f t="shared" si="3"/>
        <v>172.16.4.87</v>
      </c>
    </row>
    <row r="97" spans="1:7">
      <c r="A97" s="7" t="s">
        <v>335</v>
      </c>
      <c r="B97" s="7" t="s">
        <v>336</v>
      </c>
      <c r="D97" t="s">
        <v>193</v>
      </c>
      <c r="E97" t="s">
        <v>194</v>
      </c>
      <c r="G97" t="str">
        <f t="shared" si="3"/>
        <v>172.16.4.88</v>
      </c>
    </row>
    <row r="98" spans="1:7">
      <c r="A98" s="7" t="s">
        <v>338</v>
      </c>
      <c r="B98" s="7" t="s">
        <v>339</v>
      </c>
      <c r="D98" t="s">
        <v>196</v>
      </c>
      <c r="E98" t="s">
        <v>197</v>
      </c>
      <c r="G98" t="str">
        <f t="shared" si="3"/>
        <v>172.16.4.91</v>
      </c>
    </row>
    <row r="99" spans="1:7">
      <c r="A99" s="7" t="s">
        <v>342</v>
      </c>
      <c r="B99" s="7" t="s">
        <v>343</v>
      </c>
      <c r="D99" t="s">
        <v>199</v>
      </c>
      <c r="E99" t="s">
        <v>200</v>
      </c>
      <c r="G99" t="str">
        <f t="shared" si="3"/>
        <v>172.16.4.92</v>
      </c>
    </row>
    <row r="100" spans="1:7">
      <c r="A100" s="7" t="s">
        <v>345</v>
      </c>
      <c r="B100" s="7" t="s">
        <v>346</v>
      </c>
    </row>
    <row r="101" spans="1:7">
      <c r="A101" s="7" t="s">
        <v>349</v>
      </c>
      <c r="B101" s="7" t="s">
        <v>350</v>
      </c>
    </row>
    <row r="102" spans="1:7">
      <c r="A102" s="7" t="s">
        <v>352</v>
      </c>
      <c r="B102" s="7" t="s">
        <v>353</v>
      </c>
    </row>
    <row r="103" spans="1:7">
      <c r="A103" s="7" t="s">
        <v>356</v>
      </c>
      <c r="B103" s="7" t="s">
        <v>357</v>
      </c>
    </row>
    <row r="104" spans="1:7">
      <c r="A104" s="7" t="s">
        <v>359</v>
      </c>
      <c r="B104" s="7" t="s">
        <v>360</v>
      </c>
    </row>
    <row r="105" spans="1:7">
      <c r="A105" s="7" t="s">
        <v>363</v>
      </c>
      <c r="B105" s="7" t="s">
        <v>364</v>
      </c>
    </row>
    <row r="106" spans="1:7">
      <c r="A106" s="7" t="s">
        <v>366</v>
      </c>
      <c r="B106" s="7" t="s">
        <v>367</v>
      </c>
    </row>
    <row r="107" spans="1:7">
      <c r="A107" s="7" t="s">
        <v>370</v>
      </c>
      <c r="B107" s="7" t="s">
        <v>371</v>
      </c>
    </row>
    <row r="108" spans="1:7">
      <c r="A108" s="7" t="s">
        <v>373</v>
      </c>
      <c r="B108" s="7" t="s">
        <v>374</v>
      </c>
    </row>
    <row r="109" spans="1:7">
      <c r="A109" s="7" t="s">
        <v>376</v>
      </c>
      <c r="B109" s="7" t="s">
        <v>377</v>
      </c>
    </row>
    <row r="110" spans="1:7">
      <c r="A110" s="7" t="s">
        <v>379</v>
      </c>
      <c r="B110" s="7" t="s">
        <v>380</v>
      </c>
    </row>
    <row r="111" spans="1:7" ht="15" thickBot="1">
      <c r="A111" s="10" t="s">
        <v>382</v>
      </c>
      <c r="B111" s="10" t="s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9"/>
  <sheetViews>
    <sheetView topLeftCell="A57" workbookViewId="0">
      <selection activeCell="E49" sqref="E49"/>
    </sheetView>
  </sheetViews>
  <sheetFormatPr defaultRowHeight="14.25"/>
  <sheetData>
    <row r="2" spans="1:3">
      <c r="A2" t="s">
        <v>11</v>
      </c>
    </row>
    <row r="3" spans="1:3">
      <c r="A3" t="s">
        <v>17</v>
      </c>
    </row>
    <row r="4" spans="1:3">
      <c r="A4" t="s">
        <v>40</v>
      </c>
      <c r="C4" t="s">
        <v>40</v>
      </c>
    </row>
    <row r="5" spans="1:3">
      <c r="A5" t="s">
        <v>55</v>
      </c>
      <c r="C5" t="s">
        <v>55</v>
      </c>
    </row>
    <row r="6" spans="1:3">
      <c r="A6" t="s">
        <v>33</v>
      </c>
      <c r="C6" t="s">
        <v>33</v>
      </c>
    </row>
    <row r="7" spans="1:3">
      <c r="A7" t="s">
        <v>43</v>
      </c>
      <c r="C7" t="s">
        <v>43</v>
      </c>
    </row>
    <row r="8" spans="1:3">
      <c r="A8" t="s">
        <v>46</v>
      </c>
      <c r="C8" t="s">
        <v>46</v>
      </c>
    </row>
    <row r="9" spans="1:3">
      <c r="A9" t="s">
        <v>52</v>
      </c>
      <c r="C9" t="s">
        <v>52</v>
      </c>
    </row>
    <row r="10" spans="1:3">
      <c r="A10" t="s">
        <v>58</v>
      </c>
      <c r="C10" t="s">
        <v>58</v>
      </c>
    </row>
    <row r="11" spans="1:3">
      <c r="A11" t="s">
        <v>90</v>
      </c>
      <c r="C11" t="s">
        <v>90</v>
      </c>
    </row>
    <row r="12" spans="1:3">
      <c r="A12" t="s">
        <v>93</v>
      </c>
      <c r="C12" t="s">
        <v>93</v>
      </c>
    </row>
    <row r="13" spans="1:3">
      <c r="A13" t="s">
        <v>74</v>
      </c>
      <c r="C13" t="s">
        <v>74</v>
      </c>
    </row>
    <row r="14" spans="1:3">
      <c r="A14" t="s">
        <v>119</v>
      </c>
      <c r="C14" t="s">
        <v>119</v>
      </c>
    </row>
    <row r="15" spans="1:3">
      <c r="A15" t="s">
        <v>122</v>
      </c>
      <c r="C15" t="s">
        <v>122</v>
      </c>
    </row>
    <row r="16" spans="1:3">
      <c r="A16" t="s">
        <v>82</v>
      </c>
      <c r="C16" t="s">
        <v>82</v>
      </c>
    </row>
    <row r="17" spans="1:3">
      <c r="A17" t="s">
        <v>128</v>
      </c>
      <c r="C17" t="s">
        <v>128</v>
      </c>
    </row>
    <row r="18" spans="1:3">
      <c r="A18" t="s">
        <v>131</v>
      </c>
      <c r="C18" t="s">
        <v>131</v>
      </c>
    </row>
    <row r="19" spans="1:3">
      <c r="A19" t="s">
        <v>20</v>
      </c>
      <c r="C19" t="e">
        <v>#N/A</v>
      </c>
    </row>
    <row r="20" spans="1:3">
      <c r="A20" t="s">
        <v>24</v>
      </c>
      <c r="C20" t="e">
        <v>#N/A</v>
      </c>
    </row>
    <row r="21" spans="1:3">
      <c r="A21" t="s">
        <v>28</v>
      </c>
      <c r="C21" t="s">
        <v>28</v>
      </c>
    </row>
    <row r="22" spans="1:3">
      <c r="A22" t="s">
        <v>37</v>
      </c>
      <c r="C22" t="s">
        <v>37</v>
      </c>
    </row>
    <row r="23" spans="1:3">
      <c r="A23" t="s">
        <v>49</v>
      </c>
      <c r="C23" t="s">
        <v>49</v>
      </c>
    </row>
    <row r="24" spans="1:3">
      <c r="A24" t="s">
        <v>62</v>
      </c>
      <c r="C24" t="s">
        <v>62</v>
      </c>
    </row>
    <row r="25" spans="1:3">
      <c r="A25" t="s">
        <v>96</v>
      </c>
      <c r="C25" t="s">
        <v>96</v>
      </c>
    </row>
    <row r="26" spans="1:3">
      <c r="A26" t="s">
        <v>99</v>
      </c>
      <c r="C26" t="s">
        <v>99</v>
      </c>
    </row>
    <row r="27" spans="1:3">
      <c r="A27" t="s">
        <v>66</v>
      </c>
      <c r="C27" t="s">
        <v>66</v>
      </c>
    </row>
    <row r="28" spans="1:3">
      <c r="A28" t="s">
        <v>102</v>
      </c>
      <c r="C28" t="s">
        <v>102</v>
      </c>
    </row>
    <row r="29" spans="1:3">
      <c r="A29" t="s">
        <v>105</v>
      </c>
      <c r="C29" t="s">
        <v>105</v>
      </c>
    </row>
    <row r="30" spans="1:3">
      <c r="A30" t="s">
        <v>70</v>
      </c>
      <c r="C30" t="s">
        <v>70</v>
      </c>
    </row>
    <row r="31" spans="1:3">
      <c r="A31" t="s">
        <v>108</v>
      </c>
      <c r="C31" t="s">
        <v>108</v>
      </c>
    </row>
    <row r="32" spans="1:3">
      <c r="A32" t="s">
        <v>111</v>
      </c>
      <c r="C32" t="s">
        <v>111</v>
      </c>
    </row>
    <row r="33" spans="1:3">
      <c r="A33" t="s">
        <v>114</v>
      </c>
      <c r="C33" t="s">
        <v>114</v>
      </c>
    </row>
    <row r="34" spans="1:3">
      <c r="A34" t="s">
        <v>116</v>
      </c>
      <c r="C34" t="s">
        <v>116</v>
      </c>
    </row>
    <row r="35" spans="1:3">
      <c r="A35" t="s">
        <v>78</v>
      </c>
      <c r="C35" t="s">
        <v>78</v>
      </c>
    </row>
    <row r="36" spans="1:3">
      <c r="A36" t="s">
        <v>125</v>
      </c>
      <c r="C36" t="s">
        <v>125</v>
      </c>
    </row>
    <row r="37" spans="1:3">
      <c r="A37" t="s">
        <v>86</v>
      </c>
      <c r="C37" t="s">
        <v>86</v>
      </c>
    </row>
    <row r="38" spans="1:3">
      <c r="A38" t="s">
        <v>134</v>
      </c>
      <c r="C38" t="s">
        <v>134</v>
      </c>
    </row>
    <row r="39" spans="1:3">
      <c r="A39" t="s">
        <v>137</v>
      </c>
      <c r="C39" t="s">
        <v>137</v>
      </c>
    </row>
    <row r="40" spans="1:3">
      <c r="A40" t="s">
        <v>438</v>
      </c>
      <c r="C40" t="s">
        <v>438</v>
      </c>
    </row>
    <row r="41" spans="1:3">
      <c r="A41" t="s">
        <v>439</v>
      </c>
      <c r="C41" t="s">
        <v>439</v>
      </c>
    </row>
    <row r="42" spans="1:3">
      <c r="A42" t="s">
        <v>151</v>
      </c>
      <c r="C42" t="s">
        <v>151</v>
      </c>
    </row>
    <row r="43" spans="1:3">
      <c r="A43" t="s">
        <v>154</v>
      </c>
      <c r="C43" t="s">
        <v>154</v>
      </c>
    </row>
    <row r="44" spans="1:3">
      <c r="A44" t="s">
        <v>445</v>
      </c>
      <c r="C44" t="s">
        <v>140</v>
      </c>
    </row>
    <row r="45" spans="1:3">
      <c r="A45" t="s">
        <v>446</v>
      </c>
      <c r="C45" t="s">
        <v>143</v>
      </c>
    </row>
    <row r="46" spans="1:3">
      <c r="A46" t="s">
        <v>265</v>
      </c>
      <c r="C46" t="s">
        <v>265</v>
      </c>
    </row>
    <row r="47" spans="1:3">
      <c r="A47" t="s">
        <v>268</v>
      </c>
      <c r="C47" t="s">
        <v>268</v>
      </c>
    </row>
    <row r="48" spans="1:3">
      <c r="A48" t="s">
        <v>271</v>
      </c>
      <c r="C48" t="s">
        <v>271</v>
      </c>
    </row>
    <row r="49" spans="1:3">
      <c r="A49" t="s">
        <v>275</v>
      </c>
      <c r="C49" t="s">
        <v>275</v>
      </c>
    </row>
    <row r="50" spans="1:3">
      <c r="A50" t="s">
        <v>278</v>
      </c>
      <c r="C50" t="s">
        <v>278</v>
      </c>
    </row>
    <row r="51" spans="1:3">
      <c r="A51" t="s">
        <v>282</v>
      </c>
      <c r="C51" t="s">
        <v>282</v>
      </c>
    </row>
    <row r="52" spans="1:3">
      <c r="A52" t="s">
        <v>285</v>
      </c>
      <c r="C52" t="s">
        <v>285</v>
      </c>
    </row>
    <row r="53" spans="1:3">
      <c r="A53" t="s">
        <v>289</v>
      </c>
      <c r="C53" t="s">
        <v>289</v>
      </c>
    </row>
    <row r="54" spans="1:3">
      <c r="A54" t="s">
        <v>292</v>
      </c>
      <c r="C54" t="s">
        <v>292</v>
      </c>
    </row>
    <row r="55" spans="1:3">
      <c r="A55" t="s">
        <v>296</v>
      </c>
      <c r="C55" t="s">
        <v>296</v>
      </c>
    </row>
    <row r="56" spans="1:3">
      <c r="A56" t="s">
        <v>299</v>
      </c>
      <c r="C56" t="s">
        <v>299</v>
      </c>
    </row>
    <row r="57" spans="1:3">
      <c r="A57" t="s">
        <v>303</v>
      </c>
      <c r="C57" t="s">
        <v>303</v>
      </c>
    </row>
    <row r="58" spans="1:3">
      <c r="A58" t="s">
        <v>306</v>
      </c>
      <c r="C58" t="s">
        <v>306</v>
      </c>
    </row>
    <row r="59" spans="1:3">
      <c r="A59" t="s">
        <v>310</v>
      </c>
      <c r="C59" t="s">
        <v>310</v>
      </c>
    </row>
    <row r="60" spans="1:3">
      <c r="A60" t="s">
        <v>313</v>
      </c>
      <c r="C60" t="s">
        <v>313</v>
      </c>
    </row>
    <row r="61" spans="1:3">
      <c r="A61" t="s">
        <v>317</v>
      </c>
      <c r="C61" t="s">
        <v>317</v>
      </c>
    </row>
    <row r="62" spans="1:3">
      <c r="A62" t="s">
        <v>320</v>
      </c>
      <c r="C62" t="s">
        <v>320</v>
      </c>
    </row>
    <row r="63" spans="1:3">
      <c r="A63" t="s">
        <v>324</v>
      </c>
      <c r="C63" t="s">
        <v>324</v>
      </c>
    </row>
    <row r="64" spans="1:3">
      <c r="A64" t="s">
        <v>327</v>
      </c>
      <c r="C64" t="s">
        <v>327</v>
      </c>
    </row>
    <row r="65" spans="1:3">
      <c r="A65" t="s">
        <v>157</v>
      </c>
      <c r="C65" t="s">
        <v>157</v>
      </c>
    </row>
    <row r="66" spans="1:3">
      <c r="A66" t="s">
        <v>203</v>
      </c>
      <c r="C66" t="s">
        <v>203</v>
      </c>
    </row>
    <row r="67" spans="1:3">
      <c r="A67" t="s">
        <v>206</v>
      </c>
      <c r="C67" t="s">
        <v>206</v>
      </c>
    </row>
    <row r="68" spans="1:3">
      <c r="A68" t="s">
        <v>209</v>
      </c>
      <c r="C68" t="s">
        <v>209</v>
      </c>
    </row>
    <row r="69" spans="1:3">
      <c r="A69" t="s">
        <v>212</v>
      </c>
      <c r="C69" t="s">
        <v>212</v>
      </c>
    </row>
    <row r="70" spans="1:3">
      <c r="A70" t="s">
        <v>215</v>
      </c>
      <c r="C70" t="s">
        <v>215</v>
      </c>
    </row>
    <row r="71" spans="1:3">
      <c r="A71" t="s">
        <v>218</v>
      </c>
      <c r="C71" t="s">
        <v>218</v>
      </c>
    </row>
    <row r="72" spans="1:3">
      <c r="A72" t="s">
        <v>221</v>
      </c>
      <c r="C72" t="s">
        <v>221</v>
      </c>
    </row>
    <row r="73" spans="1:3">
      <c r="A73" t="s">
        <v>224</v>
      </c>
      <c r="C73" t="s">
        <v>224</v>
      </c>
    </row>
    <row r="74" spans="1:3">
      <c r="A74" t="s">
        <v>227</v>
      </c>
      <c r="C74" t="s">
        <v>227</v>
      </c>
    </row>
    <row r="75" spans="1:3">
      <c r="A75" t="s">
        <v>230</v>
      </c>
      <c r="C75" t="s">
        <v>230</v>
      </c>
    </row>
    <row r="76" spans="1:3">
      <c r="A76" t="s">
        <v>233</v>
      </c>
      <c r="C76" t="s">
        <v>233</v>
      </c>
    </row>
    <row r="77" spans="1:3">
      <c r="A77" t="s">
        <v>236</v>
      </c>
      <c r="C77" t="s">
        <v>236</v>
      </c>
    </row>
    <row r="78" spans="1:3">
      <c r="A78" t="s">
        <v>239</v>
      </c>
      <c r="C78" t="s">
        <v>239</v>
      </c>
    </row>
    <row r="79" spans="1:3">
      <c r="A79" t="s">
        <v>242</v>
      </c>
      <c r="C79" t="s">
        <v>242</v>
      </c>
    </row>
    <row r="80" spans="1:3">
      <c r="A80" t="s">
        <v>245</v>
      </c>
      <c r="C80" t="s">
        <v>245</v>
      </c>
    </row>
    <row r="81" spans="1:3">
      <c r="A81" t="s">
        <v>248</v>
      </c>
      <c r="C81" t="s">
        <v>248</v>
      </c>
    </row>
    <row r="82" spans="1:3">
      <c r="A82" t="s">
        <v>251</v>
      </c>
      <c r="C82" t="s">
        <v>251</v>
      </c>
    </row>
    <row r="83" spans="1:3">
      <c r="A83" t="s">
        <v>254</v>
      </c>
      <c r="C83" t="s">
        <v>254</v>
      </c>
    </row>
    <row r="84" spans="1:3">
      <c r="A84" t="s">
        <v>257</v>
      </c>
      <c r="C84" t="s">
        <v>257</v>
      </c>
    </row>
    <row r="85" spans="1:3">
      <c r="A85" t="s">
        <v>260</v>
      </c>
      <c r="C85" t="s">
        <v>260</v>
      </c>
    </row>
    <row r="86" spans="1:3">
      <c r="A86" t="s">
        <v>160</v>
      </c>
      <c r="C86" t="s">
        <v>160</v>
      </c>
    </row>
    <row r="87" spans="1:3">
      <c r="A87" t="s">
        <v>164</v>
      </c>
      <c r="C87" t="s">
        <v>164</v>
      </c>
    </row>
    <row r="88" spans="1:3">
      <c r="A88" t="s">
        <v>167</v>
      </c>
      <c r="C88" t="s">
        <v>167</v>
      </c>
    </row>
    <row r="89" spans="1:3">
      <c r="A89" t="s">
        <v>170</v>
      </c>
      <c r="C89" t="s">
        <v>170</v>
      </c>
    </row>
    <row r="90" spans="1:3">
      <c r="A90" t="s">
        <v>173</v>
      </c>
      <c r="C90" t="s">
        <v>173</v>
      </c>
    </row>
    <row r="91" spans="1:3">
      <c r="A91" t="s">
        <v>176</v>
      </c>
      <c r="C91" t="s">
        <v>176</v>
      </c>
    </row>
    <row r="92" spans="1:3">
      <c r="A92" t="s">
        <v>179</v>
      </c>
      <c r="C92" t="s">
        <v>179</v>
      </c>
    </row>
    <row r="93" spans="1:3">
      <c r="A93" t="s">
        <v>182</v>
      </c>
      <c r="C93" t="s">
        <v>182</v>
      </c>
    </row>
    <row r="94" spans="1:3">
      <c r="A94" t="s">
        <v>185</v>
      </c>
      <c r="C94" t="s">
        <v>185</v>
      </c>
    </row>
    <row r="95" spans="1:3">
      <c r="A95" t="s">
        <v>188</v>
      </c>
      <c r="C95" t="s">
        <v>188</v>
      </c>
    </row>
    <row r="96" spans="1:3">
      <c r="A96" t="s">
        <v>191</v>
      </c>
      <c r="C96" t="s">
        <v>191</v>
      </c>
    </row>
    <row r="97" spans="1:3">
      <c r="A97" t="s">
        <v>194</v>
      </c>
      <c r="C97" t="s">
        <v>194</v>
      </c>
    </row>
    <row r="98" spans="1:3">
      <c r="A98" t="s">
        <v>197</v>
      </c>
      <c r="C98" t="s">
        <v>197</v>
      </c>
    </row>
    <row r="99" spans="1:3">
      <c r="A99" t="s">
        <v>200</v>
      </c>
      <c r="C99" t="s">
        <v>200</v>
      </c>
    </row>
  </sheetData>
  <conditionalFormatting sqref="A1:C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opLeftCell="A58" workbookViewId="0">
      <selection activeCell="A79" sqref="A64:A79"/>
    </sheetView>
  </sheetViews>
  <sheetFormatPr defaultRowHeight="14.25"/>
  <cols>
    <col min="1" max="1" width="67.375" bestFit="1" customWidth="1"/>
    <col min="2" max="2" width="19.625" bestFit="1" customWidth="1"/>
  </cols>
  <sheetData>
    <row r="1" spans="1:1">
      <c r="A1" t="s">
        <v>449</v>
      </c>
    </row>
    <row r="2" spans="1:1">
      <c r="A2" t="s">
        <v>450</v>
      </c>
    </row>
    <row r="3" spans="1:1">
      <c r="A3" t="s">
        <v>451</v>
      </c>
    </row>
    <row r="4" spans="1:1">
      <c r="A4" t="s">
        <v>450</v>
      </c>
    </row>
    <row r="5" spans="1:1">
      <c r="A5" t="s">
        <v>452</v>
      </c>
    </row>
    <row r="6" spans="1:1">
      <c r="A6" t="s">
        <v>453</v>
      </c>
    </row>
    <row r="7" spans="1:1">
      <c r="A7" t="s">
        <v>454</v>
      </c>
    </row>
    <row r="8" spans="1:1">
      <c r="A8" t="s">
        <v>455</v>
      </c>
    </row>
    <row r="9" spans="1:1">
      <c r="A9" t="s">
        <v>456</v>
      </c>
    </row>
    <row r="10" spans="1:1">
      <c r="A10" t="s">
        <v>450</v>
      </c>
    </row>
    <row r="11" spans="1:1">
      <c r="A11" t="s">
        <v>457</v>
      </c>
    </row>
    <row r="12" spans="1:1">
      <c r="A12" t="s">
        <v>458</v>
      </c>
    </row>
    <row r="13" spans="1:1">
      <c r="A13" t="s">
        <v>450</v>
      </c>
    </row>
    <row r="14" spans="1:1">
      <c r="A14" t="s">
        <v>459</v>
      </c>
    </row>
    <row r="15" spans="1:1">
      <c r="A15" t="s">
        <v>450</v>
      </c>
    </row>
    <row r="16" spans="1:1">
      <c r="A16" t="s">
        <v>460</v>
      </c>
    </row>
    <row r="17" spans="1:3">
      <c r="A17" t="s">
        <v>461</v>
      </c>
    </row>
    <row r="19" spans="1:3">
      <c r="A19" t="s">
        <v>462</v>
      </c>
    </row>
    <row r="20" spans="1:3">
      <c r="A20" t="s">
        <v>11</v>
      </c>
      <c r="B20" t="s">
        <v>463</v>
      </c>
    </row>
    <row r="21" spans="1:3">
      <c r="A21" t="s">
        <v>17</v>
      </c>
      <c r="B21" t="s">
        <v>464</v>
      </c>
    </row>
    <row r="22" spans="1:3">
      <c r="A22" t="s">
        <v>20</v>
      </c>
      <c r="B22" t="s">
        <v>465</v>
      </c>
    </row>
    <row r="23" spans="1:3">
      <c r="A23" t="s">
        <v>24</v>
      </c>
      <c r="B23" t="s">
        <v>23</v>
      </c>
      <c r="C23" t="s">
        <v>466</v>
      </c>
    </row>
    <row r="24" spans="1:3">
      <c r="A24" t="s">
        <v>438</v>
      </c>
      <c r="B24" t="s">
        <v>467</v>
      </c>
    </row>
    <row r="25" spans="1:3">
      <c r="A25" t="s">
        <v>28</v>
      </c>
      <c r="B25" t="s">
        <v>27</v>
      </c>
    </row>
    <row r="26" spans="1:3">
      <c r="A26" t="s">
        <v>40</v>
      </c>
      <c r="B26" t="s">
        <v>39</v>
      </c>
    </row>
    <row r="27" spans="1:3">
      <c r="A27" t="s">
        <v>58</v>
      </c>
      <c r="B27" t="s">
        <v>57</v>
      </c>
    </row>
    <row r="28" spans="1:3">
      <c r="A28" t="s">
        <v>62</v>
      </c>
      <c r="B28" t="s">
        <v>61</v>
      </c>
    </row>
    <row r="29" spans="1:3">
      <c r="A29" t="s">
        <v>66</v>
      </c>
      <c r="B29" t="s">
        <v>65</v>
      </c>
    </row>
    <row r="30" spans="1:3">
      <c r="A30" t="s">
        <v>70</v>
      </c>
      <c r="B30" t="s">
        <v>69</v>
      </c>
    </row>
    <row r="31" spans="1:3">
      <c r="A31" t="s">
        <v>74</v>
      </c>
      <c r="B31" t="s">
        <v>73</v>
      </c>
    </row>
    <row r="32" spans="1:3">
      <c r="A32" t="s">
        <v>78</v>
      </c>
      <c r="B32" t="s">
        <v>77</v>
      </c>
    </row>
    <row r="33" spans="1:2">
      <c r="A33" t="s">
        <v>82</v>
      </c>
      <c r="B33" t="s">
        <v>81</v>
      </c>
    </row>
    <row r="34" spans="1:2">
      <c r="A34" t="s">
        <v>86</v>
      </c>
      <c r="B34" t="s">
        <v>85</v>
      </c>
    </row>
    <row r="35" spans="1:2">
      <c r="A35" t="s">
        <v>468</v>
      </c>
    </row>
    <row r="36" spans="1:2">
      <c r="A36" t="s">
        <v>469</v>
      </c>
    </row>
    <row r="37" spans="1:2">
      <c r="A37" t="s">
        <v>33</v>
      </c>
      <c r="B37" t="s">
        <v>32</v>
      </c>
    </row>
    <row r="38" spans="1:2">
      <c r="A38" t="s">
        <v>37</v>
      </c>
      <c r="B38" t="s">
        <v>36</v>
      </c>
    </row>
    <row r="39" spans="1:2">
      <c r="A39" t="s">
        <v>43</v>
      </c>
      <c r="B39" t="s">
        <v>42</v>
      </c>
    </row>
    <row r="40" spans="1:2">
      <c r="A40" t="s">
        <v>46</v>
      </c>
      <c r="B40" t="s">
        <v>45</v>
      </c>
    </row>
    <row r="41" spans="1:2">
      <c r="A41" t="s">
        <v>49</v>
      </c>
      <c r="B41" t="s">
        <v>470</v>
      </c>
    </row>
    <row r="42" spans="1:2">
      <c r="A42" t="s">
        <v>52</v>
      </c>
      <c r="B42" t="s">
        <v>471</v>
      </c>
    </row>
    <row r="43" spans="1:2">
      <c r="A43" t="s">
        <v>55</v>
      </c>
      <c r="B43" t="s">
        <v>54</v>
      </c>
    </row>
    <row r="44" spans="1:2">
      <c r="A44" t="s">
        <v>90</v>
      </c>
      <c r="B44" t="s">
        <v>89</v>
      </c>
    </row>
    <row r="45" spans="1:2">
      <c r="A45" t="s">
        <v>93</v>
      </c>
      <c r="B45" t="s">
        <v>92</v>
      </c>
    </row>
    <row r="46" spans="1:2">
      <c r="A46" t="s">
        <v>96</v>
      </c>
      <c r="B46" t="s">
        <v>95</v>
      </c>
    </row>
    <row r="47" spans="1:2">
      <c r="A47" t="s">
        <v>99</v>
      </c>
      <c r="B47" t="s">
        <v>98</v>
      </c>
    </row>
    <row r="48" spans="1:2">
      <c r="A48" t="s">
        <v>102</v>
      </c>
      <c r="B48" t="s">
        <v>101</v>
      </c>
    </row>
    <row r="49" spans="1:2">
      <c r="A49" t="s">
        <v>105</v>
      </c>
      <c r="B49" t="s">
        <v>104</v>
      </c>
    </row>
    <row r="50" spans="1:2">
      <c r="A50" t="s">
        <v>108</v>
      </c>
      <c r="B50" t="s">
        <v>107</v>
      </c>
    </row>
    <row r="51" spans="1:2">
      <c r="A51" t="s">
        <v>111</v>
      </c>
      <c r="B51" t="s">
        <v>110</v>
      </c>
    </row>
    <row r="52" spans="1:2">
      <c r="A52" t="s">
        <v>114</v>
      </c>
      <c r="B52" t="s">
        <v>113</v>
      </c>
    </row>
    <row r="53" spans="1:2">
      <c r="A53" t="s">
        <v>119</v>
      </c>
      <c r="B53" t="s">
        <v>118</v>
      </c>
    </row>
    <row r="54" spans="1:2">
      <c r="A54" t="s">
        <v>122</v>
      </c>
      <c r="B54" t="s">
        <v>121</v>
      </c>
    </row>
    <row r="55" spans="1:2">
      <c r="A55" t="s">
        <v>125</v>
      </c>
      <c r="B55" t="s">
        <v>124</v>
      </c>
    </row>
    <row r="56" spans="1:2">
      <c r="A56" t="s">
        <v>128</v>
      </c>
      <c r="B56" t="s">
        <v>127</v>
      </c>
    </row>
    <row r="57" spans="1:2">
      <c r="A57" t="s">
        <v>134</v>
      </c>
      <c r="B57" t="s">
        <v>133</v>
      </c>
    </row>
    <row r="58" spans="1:2">
      <c r="A58" t="s">
        <v>137</v>
      </c>
      <c r="B58" t="s">
        <v>136</v>
      </c>
    </row>
    <row r="59" spans="1:2">
      <c r="A59" t="s">
        <v>387</v>
      </c>
      <c r="B59" t="s">
        <v>386</v>
      </c>
    </row>
    <row r="60" spans="1:2">
      <c r="A60" t="s">
        <v>391</v>
      </c>
      <c r="B60" t="s">
        <v>390</v>
      </c>
    </row>
    <row r="61" spans="1:2">
      <c r="A61" t="s">
        <v>394</v>
      </c>
      <c r="B61" t="s">
        <v>393</v>
      </c>
    </row>
    <row r="62" spans="1:2">
      <c r="A62" t="s">
        <v>397</v>
      </c>
      <c r="B62" t="s">
        <v>396</v>
      </c>
    </row>
    <row r="63" spans="1:2">
      <c r="A63" t="s">
        <v>400</v>
      </c>
      <c r="B63" t="s">
        <v>399</v>
      </c>
    </row>
    <row r="64" spans="1:2">
      <c r="A64" t="s">
        <v>332</v>
      </c>
      <c r="B64" t="s">
        <v>331</v>
      </c>
    </row>
    <row r="65" spans="1:2">
      <c r="A65" t="s">
        <v>336</v>
      </c>
      <c r="B65" t="s">
        <v>335</v>
      </c>
    </row>
    <row r="66" spans="1:2">
      <c r="A66" t="s">
        <v>339</v>
      </c>
      <c r="B66" t="s">
        <v>338</v>
      </c>
    </row>
    <row r="67" spans="1:2">
      <c r="A67" t="s">
        <v>343</v>
      </c>
      <c r="B67" t="s">
        <v>342</v>
      </c>
    </row>
    <row r="68" spans="1:2">
      <c r="A68" t="s">
        <v>346</v>
      </c>
      <c r="B68" t="s">
        <v>345</v>
      </c>
    </row>
    <row r="69" spans="1:2">
      <c r="A69" t="s">
        <v>350</v>
      </c>
      <c r="B69" t="s">
        <v>349</v>
      </c>
    </row>
    <row r="70" spans="1:2">
      <c r="A70" t="s">
        <v>353</v>
      </c>
      <c r="B70" t="s">
        <v>352</v>
      </c>
    </row>
    <row r="71" spans="1:2">
      <c r="A71" t="s">
        <v>357</v>
      </c>
      <c r="B71" t="s">
        <v>356</v>
      </c>
    </row>
    <row r="72" spans="1:2">
      <c r="A72" t="s">
        <v>360</v>
      </c>
      <c r="B72" t="s">
        <v>359</v>
      </c>
    </row>
    <row r="73" spans="1:2">
      <c r="A73" t="s">
        <v>364</v>
      </c>
      <c r="B73" t="s">
        <v>363</v>
      </c>
    </row>
    <row r="74" spans="1:2">
      <c r="A74" t="s">
        <v>367</v>
      </c>
      <c r="B74" t="s">
        <v>366</v>
      </c>
    </row>
    <row r="75" spans="1:2">
      <c r="A75" t="s">
        <v>371</v>
      </c>
      <c r="B75" t="s">
        <v>370</v>
      </c>
    </row>
    <row r="76" spans="1:2">
      <c r="A76" t="s">
        <v>374</v>
      </c>
      <c r="B76" t="s">
        <v>373</v>
      </c>
    </row>
    <row r="77" spans="1:2">
      <c r="A77" t="s">
        <v>377</v>
      </c>
      <c r="B77" t="s">
        <v>376</v>
      </c>
    </row>
    <row r="78" spans="1:2">
      <c r="A78" t="s">
        <v>380</v>
      </c>
      <c r="B78" t="s">
        <v>379</v>
      </c>
    </row>
    <row r="79" spans="1:2">
      <c r="A79" t="s">
        <v>383</v>
      </c>
      <c r="B79" t="s">
        <v>382</v>
      </c>
    </row>
    <row r="80" spans="1:2">
      <c r="A80" t="s">
        <v>472</v>
      </c>
      <c r="B80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2018-05-24T15:36:22Z</dcterms:modified>
</cp:coreProperties>
</file>
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aniraja\Desktop\Area Files\"/>
    </mc:Choice>
  </mc:AlternateContent>
  <bookViews>
    <workbookView xWindow="0" yWindow="0" windowWidth="28800" windowHeight="11730" tabRatio="572" firstSheet="17" activeTab="28"/>
  </bookViews>
  <sheets>
    <sheet name="2023 Totals" sheetId="13" r:id="rId1"/>
    <sheet name="Jan" sheetId="1" r:id="rId2"/>
    <sheet name="Feb" sheetId="3" r:id="rId3"/>
    <sheet name="Mar" sheetId="4" r:id="rId4"/>
    <sheet name="Apr" sheetId="5" r:id="rId5"/>
    <sheet name="May" sheetId="6" r:id="rId6"/>
    <sheet name="Jun" sheetId="7" r:id="rId7"/>
    <sheet name="Jul" sheetId="8" r:id="rId8"/>
    <sheet name="Aug" sheetId="9" r:id="rId9"/>
    <sheet name="Sep" sheetId="10" r:id="rId10"/>
    <sheet name="Oct" sheetId="11" r:id="rId11"/>
    <sheet name="Nov" sheetId="12" r:id="rId12"/>
    <sheet name="Dec" sheetId="16" r:id="rId13"/>
    <sheet name="Jan24" sheetId="17" r:id="rId14"/>
    <sheet name="FEB24" sheetId="18" r:id="rId15"/>
    <sheet name="mAR24" sheetId="19" r:id="rId16"/>
    <sheet name="Apr24" sheetId="20" r:id="rId17"/>
    <sheet name="mAY24" sheetId="21" r:id="rId18"/>
    <sheet name="jUN24" sheetId="22" r:id="rId19"/>
    <sheet name="jULY24" sheetId="23" r:id="rId20"/>
    <sheet name="aUG'24" sheetId="24" r:id="rId21"/>
    <sheet name="Sep'24" sheetId="25" r:id="rId22"/>
    <sheet name="oct'24" sheetId="26" r:id="rId23"/>
    <sheet name="nov'24" sheetId="27" r:id="rId24"/>
    <sheet name="dec'24" sheetId="28" r:id="rId25"/>
    <sheet name="Jan'2025" sheetId="29" r:id="rId26"/>
    <sheet name="Feb'2025" sheetId="30" r:id="rId27"/>
    <sheet name="Mar'2025" sheetId="31" r:id="rId28"/>
    <sheet name="aPR'2025" sheetId="32" r:id="rId29"/>
    <sheet name="Employees" sheetId="15" r:id="rId30"/>
  </sheets>
  <definedNames>
    <definedName name="employees">Employees!$A$3:$A$19</definedName>
    <definedName name="_xlnm.Print_Area" localSheetId="4">Apr!$A$1:$AH$31</definedName>
    <definedName name="_xlnm.Print_Area" localSheetId="28">'aPR''2025'!$A$1:$AH$27</definedName>
    <definedName name="_xlnm.Print_Area" localSheetId="16">'Apr24'!$A$1:$AH$28</definedName>
    <definedName name="_xlnm.Print_Area" localSheetId="8">Aug!$A$1:$AI$31</definedName>
    <definedName name="_xlnm.Print_Area" localSheetId="20">'aUG''24'!$A$1:$AH$28</definedName>
    <definedName name="_xlnm.Print_Area" localSheetId="12">Dec!$A$1:$AH$28</definedName>
    <definedName name="_xlnm.Print_Area" localSheetId="24">'dec''24'!$A$1:$AH$28</definedName>
    <definedName name="_xlnm.Print_Area" localSheetId="2">Feb!$A$1:$AF$31</definedName>
    <definedName name="_xlnm.Print_Area" localSheetId="26">'Feb''2025'!$A$1:$AH$28</definedName>
    <definedName name="_xlnm.Print_Area" localSheetId="14">'FEB24'!$A$1:$AH$28</definedName>
    <definedName name="_xlnm.Print_Area" localSheetId="1">Jan!$A$1:$AH$30</definedName>
    <definedName name="_xlnm.Print_Area" localSheetId="25">'Jan''2025'!$A$1:$AH$28</definedName>
    <definedName name="_xlnm.Print_Area" localSheetId="13">'Jan24'!$A$1:$AH$28</definedName>
    <definedName name="_xlnm.Print_Area" localSheetId="7">Jul!$A$1:$AI$31</definedName>
    <definedName name="_xlnm.Print_Area" localSheetId="19">jULY24!$A$1:$AH$28</definedName>
    <definedName name="_xlnm.Print_Area" localSheetId="6">Jun!$A$2:$AH$33</definedName>
    <definedName name="_xlnm.Print_Area" localSheetId="18">'jUN24'!$A$1:$AH$28</definedName>
    <definedName name="_xlnm.Print_Area" localSheetId="3">Mar!$A$1:$AI$31</definedName>
    <definedName name="_xlnm.Print_Area" localSheetId="27">'Mar''2025'!$A$1:$AH$28</definedName>
    <definedName name="_xlnm.Print_Area" localSheetId="15">'mAR24'!$A$1:$AH$28</definedName>
    <definedName name="_xlnm.Print_Area" localSheetId="5">May!$A$1:$AI$32</definedName>
    <definedName name="_xlnm.Print_Area" localSheetId="17">'mAY24'!$A$1:$AH$28</definedName>
    <definedName name="_xlnm.Print_Area" localSheetId="11">Nov!$A$1:$AH$28</definedName>
    <definedName name="_xlnm.Print_Area" localSheetId="23">'nov''24'!$A$1:$AH$28</definedName>
    <definedName name="_xlnm.Print_Area" localSheetId="10">Oct!$A$1:$AI$30</definedName>
    <definedName name="_xlnm.Print_Area" localSheetId="22">'oct''24'!$A$1:$AH$28</definedName>
    <definedName name="_xlnm.Print_Area" localSheetId="9">Sep!$A$1:$AG$30</definedName>
    <definedName name="_xlnm.Print_Area" localSheetId="21">'Sep''24'!$A$1:$AH$28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2" l="1"/>
  <c r="A11" i="32"/>
  <c r="A12" i="32"/>
  <c r="A13" i="32"/>
  <c r="A14" i="32"/>
  <c r="A9" i="32"/>
  <c r="A8" i="32"/>
  <c r="B7" i="32"/>
  <c r="B14" i="32"/>
  <c r="AI14" i="32"/>
  <c r="AH14" i="32"/>
  <c r="B13" i="32"/>
  <c r="AI13" i="32"/>
  <c r="AH13" i="32"/>
  <c r="B12" i="32"/>
  <c r="AI12" i="32"/>
  <c r="AH12" i="32"/>
  <c r="B11" i="32"/>
  <c r="AI11" i="32"/>
  <c r="AH11" i="32"/>
  <c r="B10" i="32"/>
  <c r="AI10" i="32"/>
  <c r="AH10" i="32"/>
  <c r="B9" i="32"/>
  <c r="AI9" i="32"/>
  <c r="AH9" i="32"/>
  <c r="AI8" i="32"/>
  <c r="AH8" i="32"/>
  <c r="B8" i="32"/>
  <c r="AI7" i="32"/>
  <c r="AH7" i="32"/>
  <c r="AI6" i="32"/>
  <c r="AH6" i="32"/>
  <c r="B6" i="32"/>
  <c r="A9" i="31"/>
  <c r="A9" i="30"/>
  <c r="AI15" i="31"/>
  <c r="AH15" i="31"/>
  <c r="B15" i="31"/>
  <c r="AI14" i="31"/>
  <c r="AH14" i="31"/>
  <c r="B14" i="31"/>
  <c r="AI13" i="31"/>
  <c r="AH13" i="31"/>
  <c r="B13" i="31"/>
  <c r="AI12" i="31"/>
  <c r="AH12" i="31"/>
  <c r="B12" i="31"/>
  <c r="AI11" i="31"/>
  <c r="AH11" i="31"/>
  <c r="B11" i="31"/>
  <c r="AI10" i="31"/>
  <c r="AH10" i="31"/>
  <c r="B10" i="31"/>
  <c r="AI9" i="31"/>
  <c r="AH9" i="31"/>
  <c r="B9" i="31"/>
  <c r="AI8" i="31"/>
  <c r="AH8" i="31"/>
  <c r="B8" i="31"/>
  <c r="AI7" i="31"/>
  <c r="AH7" i="31"/>
  <c r="B7" i="31"/>
  <c r="AI6" i="31"/>
  <c r="AH6" i="31"/>
  <c r="B6" i="31"/>
  <c r="AI15" i="30"/>
  <c r="AH15" i="30"/>
  <c r="B15" i="30"/>
  <c r="AI14" i="30"/>
  <c r="AH14" i="30"/>
  <c r="B14" i="30"/>
  <c r="AI13" i="30"/>
  <c r="AH13" i="30"/>
  <c r="B13" i="30"/>
  <c r="AI12" i="30"/>
  <c r="AH12" i="30"/>
  <c r="B12" i="30"/>
  <c r="AI11" i="30"/>
  <c r="AH11" i="30"/>
  <c r="B11" i="30"/>
  <c r="AI10" i="30"/>
  <c r="AH10" i="30"/>
  <c r="B10" i="30"/>
  <c r="AI9" i="30"/>
  <c r="AH9" i="30"/>
  <c r="B9" i="30"/>
  <c r="AI8" i="30"/>
  <c r="AH8" i="30"/>
  <c r="B8" i="30"/>
  <c r="AI7" i="30"/>
  <c r="AH7" i="30"/>
  <c r="B7" i="30"/>
  <c r="AI6" i="30"/>
  <c r="AH6" i="30"/>
  <c r="B6" i="30"/>
  <c r="A9" i="29" l="1"/>
  <c r="A11" i="29"/>
  <c r="A15" i="29"/>
  <c r="B7" i="29"/>
  <c r="B6" i="29"/>
  <c r="A7" i="29"/>
  <c r="AI15" i="29"/>
  <c r="AH15" i="29"/>
  <c r="B15" i="29"/>
  <c r="AI14" i="29"/>
  <c r="AH14" i="29"/>
  <c r="B14" i="29"/>
  <c r="AI13" i="29"/>
  <c r="AH13" i="29"/>
  <c r="B13" i="29"/>
  <c r="AI12" i="29"/>
  <c r="AH12" i="29"/>
  <c r="B12" i="29"/>
  <c r="AI11" i="29"/>
  <c r="A11" i="30" s="1"/>
  <c r="A11" i="31" s="1"/>
  <c r="AH11" i="29"/>
  <c r="B11" i="29"/>
  <c r="AI10" i="29"/>
  <c r="AH10" i="29"/>
  <c r="B10" i="29"/>
  <c r="AI9" i="29"/>
  <c r="AH9" i="29"/>
  <c r="B9" i="29"/>
  <c r="AI8" i="29"/>
  <c r="AH8" i="29"/>
  <c r="B8" i="29"/>
  <c r="AI7" i="29"/>
  <c r="A7" i="30" s="1"/>
  <c r="A7" i="31" s="1"/>
  <c r="AH7" i="29"/>
  <c r="AI6" i="29"/>
  <c r="AH6" i="29"/>
  <c r="D22" i="13"/>
  <c r="E22" i="13"/>
  <c r="E34" i="13"/>
  <c r="E33" i="13"/>
  <c r="B33" i="13"/>
  <c r="E32" i="13"/>
  <c r="E31" i="13"/>
  <c r="C31" i="13"/>
  <c r="E30" i="13"/>
  <c r="D29" i="13"/>
  <c r="E29" i="13"/>
  <c r="C29" i="13"/>
  <c r="D28" i="13"/>
  <c r="E28" i="13"/>
  <c r="C28" i="13"/>
  <c r="D27" i="13"/>
  <c r="E27" i="13"/>
  <c r="C27" i="13"/>
  <c r="E26" i="13"/>
  <c r="D25" i="13"/>
  <c r="E25" i="13"/>
  <c r="C25" i="13"/>
  <c r="D24" i="13"/>
  <c r="E24" i="13"/>
  <c r="C24" i="13"/>
  <c r="E23" i="13"/>
  <c r="C22" i="13"/>
  <c r="D21" i="13"/>
  <c r="E21" i="13"/>
  <c r="C21" i="13"/>
  <c r="D12" i="13"/>
  <c r="E12" i="13"/>
  <c r="C12" i="13"/>
  <c r="D11" i="13"/>
  <c r="E11" i="13"/>
  <c r="C11" i="13"/>
  <c r="D9" i="13"/>
  <c r="E9" i="13"/>
  <c r="C9" i="13"/>
  <c r="C8" i="13"/>
  <c r="D8" i="13"/>
  <c r="E8" i="13"/>
  <c r="D7" i="13"/>
  <c r="E7" i="13"/>
  <c r="C7" i="13"/>
  <c r="C5" i="13"/>
  <c r="D5" i="13"/>
  <c r="E5" i="13"/>
  <c r="D4" i="13"/>
  <c r="E4" i="13"/>
  <c r="C4" i="13"/>
  <c r="D10" i="13"/>
  <c r="D15" i="13"/>
  <c r="E15" i="13"/>
  <c r="C15" i="13"/>
  <c r="E14" i="13"/>
  <c r="D14" i="13"/>
  <c r="C14" i="13"/>
  <c r="AK6" i="25"/>
  <c r="A7" i="28"/>
  <c r="A8" i="28"/>
  <c r="A9" i="28"/>
  <c r="A11" i="28"/>
  <c r="A12" i="28"/>
  <c r="A13" i="28"/>
  <c r="A14" i="28"/>
  <c r="A15" i="28"/>
  <c r="A7" i="27"/>
  <c r="A8" i="27"/>
  <c r="A9" i="27"/>
  <c r="A10" i="27"/>
  <c r="A11" i="27"/>
  <c r="A12" i="27"/>
  <c r="A13" i="27"/>
  <c r="A14" i="27"/>
  <c r="A15" i="27"/>
  <c r="A8" i="26"/>
  <c r="A9" i="26"/>
  <c r="A10" i="26"/>
  <c r="A11" i="26"/>
  <c r="A12" i="26"/>
  <c r="A13" i="26"/>
  <c r="A14" i="26"/>
  <c r="A15" i="26"/>
  <c r="A7" i="26"/>
  <c r="AH14" i="28"/>
  <c r="C32" i="13" s="1"/>
  <c r="AI14" i="28"/>
  <c r="AH14" i="27"/>
  <c r="AI14" i="27"/>
  <c r="AH14" i="26"/>
  <c r="AI14" i="26"/>
  <c r="AH14" i="25"/>
  <c r="AI14" i="25"/>
  <c r="AH14" i="24"/>
  <c r="AI14" i="24"/>
  <c r="AH14" i="23"/>
  <c r="AI14" i="23"/>
  <c r="B6" i="28"/>
  <c r="B6" i="27"/>
  <c r="B6" i="26"/>
  <c r="AI15" i="28"/>
  <c r="AH15" i="28"/>
  <c r="B15" i="28"/>
  <c r="B14" i="28"/>
  <c r="AI13" i="28"/>
  <c r="D31" i="13" s="1"/>
  <c r="AH13" i="28"/>
  <c r="B13" i="28"/>
  <c r="AI12" i="28"/>
  <c r="D30" i="13" s="1"/>
  <c r="AH12" i="28"/>
  <c r="C30" i="13" s="1"/>
  <c r="B12" i="28"/>
  <c r="AI11" i="28"/>
  <c r="AH11" i="28"/>
  <c r="B11" i="28"/>
  <c r="AI10" i="28"/>
  <c r="AH10" i="28"/>
  <c r="B10" i="28"/>
  <c r="AI9" i="28"/>
  <c r="AH9" i="28"/>
  <c r="B9" i="28"/>
  <c r="AI8" i="28"/>
  <c r="D23" i="13" s="1"/>
  <c r="AH8" i="28"/>
  <c r="A8" i="29" s="1"/>
  <c r="B8" i="28"/>
  <c r="AI7" i="28"/>
  <c r="AH7" i="28"/>
  <c r="B7" i="28"/>
  <c r="AI6" i="28"/>
  <c r="AH6" i="28"/>
  <c r="AI15" i="27"/>
  <c r="AH15" i="27"/>
  <c r="B15" i="27"/>
  <c r="B14" i="27"/>
  <c r="AI13" i="27"/>
  <c r="AH13" i="27"/>
  <c r="B13" i="27"/>
  <c r="AI12" i="27"/>
  <c r="AH12" i="27"/>
  <c r="B12" i="27"/>
  <c r="AI11" i="27"/>
  <c r="AH11" i="27"/>
  <c r="B11" i="27"/>
  <c r="AI10" i="27"/>
  <c r="AH10" i="27"/>
  <c r="B10" i="27"/>
  <c r="AI9" i="27"/>
  <c r="AH9" i="27"/>
  <c r="B9" i="27"/>
  <c r="AI8" i="27"/>
  <c r="AH8" i="27"/>
  <c r="B8" i="27"/>
  <c r="AI7" i="27"/>
  <c r="AH7" i="27"/>
  <c r="B7" i="27"/>
  <c r="AI6" i="27"/>
  <c r="AH6" i="27"/>
  <c r="AI15" i="26"/>
  <c r="AH15" i="26"/>
  <c r="B15" i="26"/>
  <c r="B14" i="26"/>
  <c r="AI13" i="26"/>
  <c r="AH13" i="26"/>
  <c r="B13" i="26"/>
  <c r="AI12" i="26"/>
  <c r="AH12" i="26"/>
  <c r="B12" i="26"/>
  <c r="AI11" i="26"/>
  <c r="AH11" i="26"/>
  <c r="B11" i="26"/>
  <c r="AI10" i="26"/>
  <c r="AH10" i="26"/>
  <c r="B10" i="26"/>
  <c r="AI9" i="26"/>
  <c r="AH9" i="26"/>
  <c r="B9" i="26"/>
  <c r="AI8" i="26"/>
  <c r="AH8" i="26"/>
  <c r="B8" i="26"/>
  <c r="AI7" i="26"/>
  <c r="AH7" i="26"/>
  <c r="B7" i="26"/>
  <c r="AI6" i="26"/>
  <c r="D33" i="13" s="1"/>
  <c r="AH6" i="26"/>
  <c r="A15" i="30" l="1"/>
  <c r="A15" i="31" s="1"/>
  <c r="A13" i="29"/>
  <c r="A13" i="30" s="1"/>
  <c r="A13" i="31" s="1"/>
  <c r="C23" i="13"/>
  <c r="A14" i="29"/>
  <c r="A14" i="30" s="1"/>
  <c r="A14" i="31" s="1"/>
  <c r="D32" i="13"/>
  <c r="A12" i="29"/>
  <c r="A12" i="30" s="1"/>
  <c r="A12" i="31" s="1"/>
  <c r="C26" i="13"/>
  <c r="D26" i="13"/>
  <c r="D34" i="13" s="1"/>
  <c r="A10" i="28"/>
  <c r="A10" i="29" s="1"/>
  <c r="A10" i="30" s="1"/>
  <c r="A10" i="31" s="1"/>
  <c r="A8" i="30"/>
  <c r="A8" i="31" s="1"/>
  <c r="C33" i="13"/>
  <c r="A6" i="27"/>
  <c r="A6" i="28" s="1"/>
  <c r="A7" i="25"/>
  <c r="A8" i="25"/>
  <c r="A9" i="25"/>
  <c r="A10" i="25"/>
  <c r="A11" i="25"/>
  <c r="A12" i="25"/>
  <c r="A13" i="25"/>
  <c r="A15" i="25"/>
  <c r="A7" i="24"/>
  <c r="A8" i="24"/>
  <c r="A9" i="24"/>
  <c r="A10" i="24"/>
  <c r="A11" i="24"/>
  <c r="A12" i="24"/>
  <c r="A13" i="24"/>
  <c r="A14" i="24"/>
  <c r="A15" i="24"/>
  <c r="A15" i="23"/>
  <c r="A10" i="23"/>
  <c r="A11" i="23"/>
  <c r="A12" i="23"/>
  <c r="A13" i="23"/>
  <c r="A9" i="23"/>
  <c r="A7" i="23"/>
  <c r="A8" i="23"/>
  <c r="B14" i="25"/>
  <c r="B14" i="24"/>
  <c r="B14" i="23"/>
  <c r="AI15" i="25"/>
  <c r="AH15" i="25"/>
  <c r="B15" i="25"/>
  <c r="AI13" i="25"/>
  <c r="AH13" i="25"/>
  <c r="B13" i="25"/>
  <c r="AI12" i="25"/>
  <c r="AH12" i="25"/>
  <c r="B12" i="25"/>
  <c r="AI11" i="25"/>
  <c r="AH11" i="25"/>
  <c r="B11" i="25"/>
  <c r="AI10" i="25"/>
  <c r="AH10" i="25"/>
  <c r="B10" i="25"/>
  <c r="AI9" i="25"/>
  <c r="AH9" i="25"/>
  <c r="B9" i="25"/>
  <c r="AI8" i="25"/>
  <c r="AH8" i="25"/>
  <c r="B8" i="25"/>
  <c r="AI7" i="25"/>
  <c r="AH7" i="25"/>
  <c r="B7" i="25"/>
  <c r="AI6" i="25"/>
  <c r="AH6" i="25"/>
  <c r="B6" i="25"/>
  <c r="AI15" i="24"/>
  <c r="AH15" i="24"/>
  <c r="B15" i="24"/>
  <c r="AI13" i="24"/>
  <c r="AH13" i="24"/>
  <c r="B13" i="24"/>
  <c r="AI12" i="24"/>
  <c r="AH12" i="24"/>
  <c r="B12" i="24"/>
  <c r="AI11" i="24"/>
  <c r="AH11" i="24"/>
  <c r="B11" i="24"/>
  <c r="AI10" i="24"/>
  <c r="AH10" i="24"/>
  <c r="B10" i="24"/>
  <c r="AI9" i="24"/>
  <c r="AH9" i="24"/>
  <c r="B9" i="24"/>
  <c r="AI8" i="24"/>
  <c r="AH8" i="24"/>
  <c r="B8" i="24"/>
  <c r="AI7" i="24"/>
  <c r="AH7" i="24"/>
  <c r="B7" i="24"/>
  <c r="AI6" i="24"/>
  <c r="AH6" i="24"/>
  <c r="B6" i="24"/>
  <c r="C34" i="13" l="1"/>
  <c r="A14" i="25"/>
  <c r="B18" i="13"/>
  <c r="B32" i="13" s="1"/>
  <c r="B17" i="13"/>
  <c r="B26" i="13" s="1"/>
  <c r="AI15" i="23"/>
  <c r="AH15" i="23"/>
  <c r="B15" i="23"/>
  <c r="AI13" i="23"/>
  <c r="AH13" i="23"/>
  <c r="B13" i="23"/>
  <c r="AI12" i="23"/>
  <c r="AH12" i="23"/>
  <c r="B12" i="23"/>
  <c r="AI11" i="23"/>
  <c r="AH11" i="23"/>
  <c r="B11" i="23"/>
  <c r="AI10" i="23"/>
  <c r="AH10" i="23"/>
  <c r="B10" i="23"/>
  <c r="AI9" i="23"/>
  <c r="AH9" i="23"/>
  <c r="B9" i="23"/>
  <c r="AI8" i="23"/>
  <c r="AH8" i="23"/>
  <c r="B8" i="23"/>
  <c r="AI7" i="23"/>
  <c r="AH7" i="23"/>
  <c r="B7" i="23"/>
  <c r="AI6" i="23"/>
  <c r="AH6" i="23"/>
  <c r="B6" i="23"/>
  <c r="A8" i="22" l="1"/>
  <c r="A10" i="22"/>
  <c r="A12" i="22"/>
  <c r="A14" i="22"/>
  <c r="A15" i="22"/>
  <c r="AI15" i="22"/>
  <c r="AH15" i="22"/>
  <c r="B15" i="22"/>
  <c r="AI14" i="22"/>
  <c r="AH14" i="22"/>
  <c r="B14" i="22"/>
  <c r="AI13" i="22"/>
  <c r="AH13" i="22"/>
  <c r="B13" i="22"/>
  <c r="AI12" i="22"/>
  <c r="AH12" i="22"/>
  <c r="B12" i="22"/>
  <c r="AI11" i="22"/>
  <c r="AH11" i="22"/>
  <c r="B11" i="22"/>
  <c r="AI10" i="22"/>
  <c r="AH10" i="22"/>
  <c r="B10" i="22"/>
  <c r="AI9" i="22"/>
  <c r="AH9" i="22"/>
  <c r="B9" i="22"/>
  <c r="AI8" i="22"/>
  <c r="AH8" i="22"/>
  <c r="B8" i="22"/>
  <c r="AI7" i="22"/>
  <c r="AH7" i="22"/>
  <c r="B7" i="22"/>
  <c r="AI6" i="22"/>
  <c r="AH6" i="22"/>
  <c r="B6" i="22"/>
  <c r="A12" i="21" l="1"/>
  <c r="A15" i="21"/>
  <c r="AI15" i="21"/>
  <c r="AH15" i="21"/>
  <c r="B15" i="21"/>
  <c r="AI14" i="21"/>
  <c r="AH14" i="21"/>
  <c r="B14" i="21"/>
  <c r="AI13" i="21"/>
  <c r="AH13" i="21"/>
  <c r="B13" i="21"/>
  <c r="AI12" i="21"/>
  <c r="AH12" i="21"/>
  <c r="B12" i="21"/>
  <c r="AI11" i="21"/>
  <c r="AH11" i="21"/>
  <c r="B11" i="21"/>
  <c r="AI10" i="21"/>
  <c r="AH10" i="21"/>
  <c r="B10" i="21"/>
  <c r="AI9" i="21"/>
  <c r="AH9" i="21"/>
  <c r="B9" i="21"/>
  <c r="AI8" i="21"/>
  <c r="AH8" i="21"/>
  <c r="B8" i="21"/>
  <c r="AI7" i="21"/>
  <c r="AH7" i="21"/>
  <c r="B7" i="21"/>
  <c r="AI6" i="21"/>
  <c r="AH6" i="21"/>
  <c r="B6" i="21"/>
  <c r="A13" i="22" l="1"/>
  <c r="A7" i="22"/>
  <c r="A15" i="20"/>
  <c r="A14" i="20"/>
  <c r="A12" i="20"/>
  <c r="A7" i="20"/>
  <c r="A8" i="20"/>
  <c r="B11" i="20"/>
  <c r="AI15" i="20"/>
  <c r="AH15" i="20"/>
  <c r="B15" i="20"/>
  <c r="AI14" i="20"/>
  <c r="A14" i="21" s="1"/>
  <c r="AH14" i="20"/>
  <c r="AI13" i="20"/>
  <c r="AH13" i="20"/>
  <c r="B14" i="20"/>
  <c r="AI12" i="20"/>
  <c r="AH12" i="20"/>
  <c r="B13" i="20"/>
  <c r="AI11" i="20"/>
  <c r="AH11" i="20"/>
  <c r="B12" i="20"/>
  <c r="AI10" i="20"/>
  <c r="AH10" i="20"/>
  <c r="B10" i="20"/>
  <c r="AI9" i="20"/>
  <c r="AH9" i="20"/>
  <c r="B9" i="20"/>
  <c r="AI8" i="20"/>
  <c r="AH8" i="20"/>
  <c r="B8" i="20"/>
  <c r="AI7" i="20"/>
  <c r="AH7" i="20"/>
  <c r="B7" i="20"/>
  <c r="AI6" i="20"/>
  <c r="AH6" i="20"/>
  <c r="B6" i="20"/>
  <c r="A10" i="21" l="1"/>
  <c r="A8" i="21"/>
  <c r="A7" i="21"/>
  <c r="A13" i="21"/>
  <c r="A11" i="21"/>
  <c r="A11" i="22" s="1"/>
  <c r="C10" i="13"/>
  <c r="E6" i="13"/>
  <c r="D6" i="13"/>
  <c r="C6" i="13"/>
  <c r="E10" i="13"/>
  <c r="E13" i="13"/>
  <c r="D13" i="13"/>
  <c r="C13" i="13"/>
  <c r="A10" i="19"/>
  <c r="A11" i="19"/>
  <c r="A15" i="19"/>
  <c r="AI15" i="19"/>
  <c r="AH15" i="19"/>
  <c r="B15" i="19"/>
  <c r="AI14" i="19"/>
  <c r="AH14" i="19"/>
  <c r="B14" i="19"/>
  <c r="AI13" i="19"/>
  <c r="AH13" i="19"/>
  <c r="B13" i="19"/>
  <c r="AI12" i="19"/>
  <c r="AH12" i="19"/>
  <c r="B12" i="19"/>
  <c r="AI11" i="19"/>
  <c r="AH11" i="19"/>
  <c r="B11" i="19"/>
  <c r="AI10" i="19"/>
  <c r="AH10" i="19"/>
  <c r="B10" i="19"/>
  <c r="AI9" i="19"/>
  <c r="AH9" i="19"/>
  <c r="B9" i="19"/>
  <c r="AI8" i="19"/>
  <c r="AH8" i="19"/>
  <c r="B8" i="19"/>
  <c r="AI7" i="19"/>
  <c r="AH7" i="19"/>
  <c r="B7" i="19"/>
  <c r="AI6" i="19"/>
  <c r="AH6" i="19"/>
  <c r="B6" i="19"/>
  <c r="C19" i="13" l="1"/>
  <c r="D19" i="13"/>
  <c r="E19" i="13"/>
  <c r="A13" i="20"/>
  <c r="A10" i="20"/>
  <c r="A6" i="20"/>
  <c r="A6" i="21" s="1"/>
  <c r="A6" i="22" s="1"/>
  <c r="A6" i="23" s="1"/>
  <c r="A6" i="24" s="1"/>
  <c r="A6" i="25" s="1"/>
  <c r="A10" i="18"/>
  <c r="A11" i="18"/>
  <c r="A9" i="17"/>
  <c r="A10" i="17"/>
  <c r="A11" i="17"/>
  <c r="A15" i="17"/>
  <c r="AI15" i="18"/>
  <c r="AH15" i="18"/>
  <c r="B15" i="18"/>
  <c r="AI14" i="18"/>
  <c r="AH14" i="18"/>
  <c r="B14" i="18"/>
  <c r="AI13" i="18"/>
  <c r="AH13" i="18"/>
  <c r="B13" i="18"/>
  <c r="AI12" i="18"/>
  <c r="A12" i="19" s="1"/>
  <c r="AH12" i="18"/>
  <c r="B12" i="18"/>
  <c r="AI11" i="18"/>
  <c r="AH11" i="18"/>
  <c r="B11" i="18"/>
  <c r="AI10" i="18"/>
  <c r="AH10" i="18"/>
  <c r="B10" i="18"/>
  <c r="AI9" i="18"/>
  <c r="AH9" i="18"/>
  <c r="B9" i="18"/>
  <c r="AI8" i="18"/>
  <c r="AH8" i="18"/>
  <c r="B8" i="18"/>
  <c r="AI7" i="18"/>
  <c r="A7" i="19" s="1"/>
  <c r="AH7" i="18"/>
  <c r="B7" i="18"/>
  <c r="AI6" i="18"/>
  <c r="A6" i="19" s="1"/>
  <c r="AH6" i="18"/>
  <c r="B6" i="18"/>
  <c r="B8" i="17"/>
  <c r="AI15" i="17"/>
  <c r="AH15" i="17"/>
  <c r="A15" i="18" s="1"/>
  <c r="B15" i="17"/>
  <c r="AI14" i="17"/>
  <c r="AH14" i="17"/>
  <c r="B14" i="17"/>
  <c r="AI13" i="17"/>
  <c r="AH13" i="17"/>
  <c r="B13" i="17"/>
  <c r="AI12" i="17"/>
  <c r="AH12" i="17"/>
  <c r="B12" i="17"/>
  <c r="AI11" i="17"/>
  <c r="AH11" i="17"/>
  <c r="B11" i="17"/>
  <c r="AI10" i="17"/>
  <c r="AH10" i="17"/>
  <c r="AI9" i="17"/>
  <c r="AH9" i="17"/>
  <c r="B10" i="17"/>
  <c r="AI8" i="17"/>
  <c r="AH8" i="17"/>
  <c r="B9" i="17"/>
  <c r="AI7" i="17"/>
  <c r="AH7" i="17"/>
  <c r="B7" i="17"/>
  <c r="AI6" i="17"/>
  <c r="AH6" i="17"/>
  <c r="B6" i="17"/>
  <c r="A9" i="18" l="1"/>
  <c r="A9" i="19" s="1"/>
  <c r="A9" i="20" s="1"/>
  <c r="A9" i="21" s="1"/>
  <c r="A9" i="22" s="1"/>
  <c r="A8" i="18"/>
  <c r="A8" i="19" s="1"/>
  <c r="B16" i="13"/>
  <c r="B23" i="13" s="1"/>
  <c r="B13" i="13" l="1"/>
  <c r="B29" i="13" s="1"/>
  <c r="B14" i="13"/>
  <c r="B30" i="13" s="1"/>
  <c r="B15" i="13"/>
  <c r="B31" i="13" s="1"/>
  <c r="B15" i="16"/>
  <c r="B14" i="16"/>
  <c r="B13" i="16"/>
  <c r="B12" i="16"/>
  <c r="B11" i="16"/>
  <c r="B10" i="16"/>
  <c r="B9" i="16"/>
  <c r="B8" i="16"/>
  <c r="B7" i="16"/>
  <c r="B6" i="16"/>
  <c r="B15" i="12"/>
  <c r="B14" i="12"/>
  <c r="B13" i="12"/>
  <c r="B12" i="12"/>
  <c r="B11" i="12"/>
  <c r="B10" i="12"/>
  <c r="B9" i="12"/>
  <c r="B8" i="12"/>
  <c r="B7" i="12"/>
  <c r="B6" i="12"/>
  <c r="B15" i="11" l="1"/>
  <c r="B14" i="11"/>
  <c r="B13" i="11"/>
  <c r="B12" i="11"/>
  <c r="B11" i="11"/>
  <c r="B10" i="11"/>
  <c r="B9" i="11"/>
  <c r="B8" i="11"/>
  <c r="B7" i="11"/>
  <c r="B6" i="11"/>
  <c r="B15" i="10"/>
  <c r="B14" i="10"/>
  <c r="B13" i="10"/>
  <c r="B12" i="10"/>
  <c r="B11" i="10"/>
  <c r="B10" i="10"/>
  <c r="B9" i="10"/>
  <c r="B8" i="10"/>
  <c r="B7" i="10"/>
  <c r="B6" i="10"/>
  <c r="B15" i="9"/>
  <c r="B14" i="9"/>
  <c r="B13" i="9"/>
  <c r="B12" i="9"/>
  <c r="B11" i="9"/>
  <c r="B10" i="9"/>
  <c r="B9" i="9"/>
  <c r="B8" i="9"/>
  <c r="B7" i="9"/>
  <c r="B6" i="9"/>
  <c r="AH13" i="8" l="1"/>
  <c r="AI13" i="8"/>
  <c r="A13" i="9" s="1"/>
  <c r="A13" i="10" s="1"/>
  <c r="B13" i="8"/>
  <c r="B12" i="8"/>
  <c r="B13" i="7"/>
  <c r="B13" i="6"/>
  <c r="B13" i="5"/>
  <c r="A11" i="7" l="1"/>
  <c r="A12" i="7"/>
  <c r="A14" i="7"/>
  <c r="A15" i="7"/>
  <c r="A6" i="7"/>
  <c r="A14" i="6"/>
  <c r="A9" i="6" l="1"/>
  <c r="A10" i="6"/>
  <c r="A12" i="6"/>
  <c r="A7" i="5"/>
  <c r="A9" i="5"/>
  <c r="A10" i="5"/>
  <c r="A11" i="5"/>
  <c r="A12" i="5"/>
  <c r="A14" i="5"/>
  <c r="A15" i="5"/>
  <c r="A6" i="5"/>
  <c r="A7" i="4"/>
  <c r="A9" i="4"/>
  <c r="A10" i="4"/>
  <c r="A11" i="4"/>
  <c r="A12" i="4"/>
  <c r="A13" i="4"/>
  <c r="A14" i="4"/>
  <c r="A15" i="4"/>
  <c r="A6" i="4"/>
  <c r="A7" i="3"/>
  <c r="A9" i="3"/>
  <c r="A10" i="3"/>
  <c r="A11" i="3"/>
  <c r="A12" i="3"/>
  <c r="A13" i="3"/>
  <c r="A14" i="3"/>
  <c r="A15" i="3"/>
  <c r="A6" i="3"/>
  <c r="A11" i="1" l="1"/>
  <c r="AI15" i="16"/>
  <c r="AH15" i="16"/>
  <c r="AH15" i="12"/>
  <c r="AG15" i="12"/>
  <c r="AI15" i="11"/>
  <c r="AH15" i="11"/>
  <c r="AH15" i="10"/>
  <c r="AG15" i="10"/>
  <c r="AI15" i="9"/>
  <c r="AH15" i="9"/>
  <c r="AI15" i="8"/>
  <c r="AH15" i="8"/>
  <c r="B15" i="8"/>
  <c r="AI14" i="16"/>
  <c r="AH14" i="16"/>
  <c r="AI13" i="16"/>
  <c r="AH13" i="16"/>
  <c r="AI12" i="16"/>
  <c r="AH12" i="16"/>
  <c r="AI11" i="16"/>
  <c r="AH11" i="16"/>
  <c r="AI10" i="16"/>
  <c r="AH10" i="16"/>
  <c r="AI9" i="16"/>
  <c r="AH9" i="16"/>
  <c r="AI8" i="16"/>
  <c r="AH8" i="16"/>
  <c r="AI7" i="16"/>
  <c r="A7" i="17" s="1"/>
  <c r="A7" i="18" s="1"/>
  <c r="AH7" i="16"/>
  <c r="AI6" i="16"/>
  <c r="AH6" i="16"/>
  <c r="AI14" i="11"/>
  <c r="AH14" i="11"/>
  <c r="AI13" i="11"/>
  <c r="AH13" i="11"/>
  <c r="AI12" i="11"/>
  <c r="AH12" i="11"/>
  <c r="AI11" i="11"/>
  <c r="AH11" i="11"/>
  <c r="AI10" i="11"/>
  <c r="AH10" i="11"/>
  <c r="AI9" i="11"/>
  <c r="AH9" i="11"/>
  <c r="AI8" i="11"/>
  <c r="AH8" i="11"/>
  <c r="AI7" i="11"/>
  <c r="AH7" i="11"/>
  <c r="AI6" i="11"/>
  <c r="AH6" i="11"/>
  <c r="AI14" i="9"/>
  <c r="AH14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14" i="8"/>
  <c r="AH14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I15" i="6"/>
  <c r="AH15" i="6"/>
  <c r="AI14" i="6"/>
  <c r="AH14" i="6"/>
  <c r="AI13" i="6"/>
  <c r="AH13" i="6"/>
  <c r="AI12" i="6"/>
  <c r="AH12" i="6"/>
  <c r="AI11" i="6"/>
  <c r="AH11" i="6"/>
  <c r="AI10" i="6"/>
  <c r="A10" i="7" s="1"/>
  <c r="AH10" i="6"/>
  <c r="AI9" i="6"/>
  <c r="A9" i="7" s="1"/>
  <c r="AH9" i="6"/>
  <c r="AI8" i="6"/>
  <c r="A8" i="7" s="1"/>
  <c r="AH8" i="6"/>
  <c r="AI7" i="6"/>
  <c r="A7" i="7" s="1"/>
  <c r="AH7" i="6"/>
  <c r="AI6" i="6"/>
  <c r="AH6" i="6"/>
  <c r="AI15" i="4"/>
  <c r="AI14" i="4"/>
  <c r="AI13" i="4"/>
  <c r="AI12" i="4"/>
  <c r="AI11" i="4"/>
  <c r="AI10" i="4"/>
  <c r="AI9" i="4"/>
  <c r="AI8" i="4"/>
  <c r="AI7" i="4"/>
  <c r="AI6" i="4"/>
  <c r="AH10" i="4"/>
  <c r="AH9" i="4"/>
  <c r="AH8" i="4"/>
  <c r="AH7" i="4"/>
  <c r="AH11" i="4"/>
  <c r="AH12" i="4"/>
  <c r="AH13" i="4"/>
  <c r="AH14" i="4"/>
  <c r="AH15" i="4"/>
  <c r="AH6" i="4"/>
  <c r="AE7" i="3"/>
  <c r="AF7" i="3"/>
  <c r="AE8" i="3"/>
  <c r="AF8" i="3"/>
  <c r="AE9" i="3"/>
  <c r="AF9" i="3"/>
  <c r="AE10" i="3"/>
  <c r="AF10" i="3"/>
  <c r="AE11" i="3"/>
  <c r="AF11" i="3"/>
  <c r="AE12" i="3"/>
  <c r="AF12" i="3"/>
  <c r="AE13" i="3"/>
  <c r="AF13" i="3"/>
  <c r="AE14" i="3"/>
  <c r="AF14" i="3"/>
  <c r="AE15" i="3"/>
  <c r="AF15" i="3"/>
  <c r="AF6" i="3"/>
  <c r="AE6" i="3"/>
  <c r="AI7" i="1"/>
  <c r="AI8" i="1"/>
  <c r="AI9" i="1"/>
  <c r="AI10" i="1"/>
  <c r="AI11" i="1"/>
  <c r="AI12" i="1"/>
  <c r="AI13" i="1"/>
  <c r="AI14" i="1"/>
  <c r="AI15" i="1"/>
  <c r="AH7" i="1"/>
  <c r="AH8" i="1"/>
  <c r="AH9" i="1"/>
  <c r="AH10" i="1"/>
  <c r="AH11" i="1"/>
  <c r="AH12" i="1"/>
  <c r="AH13" i="1"/>
  <c r="AH14" i="1"/>
  <c r="AH15" i="1"/>
  <c r="AI6" i="1"/>
  <c r="AH6" i="1"/>
  <c r="B15" i="7"/>
  <c r="AH15" i="7" s="1"/>
  <c r="B15" i="6"/>
  <c r="B15" i="5"/>
  <c r="AG15" i="5" s="1"/>
  <c r="B15" i="4"/>
  <c r="B15" i="3"/>
  <c r="A14" i="17" l="1"/>
  <c r="A14" i="18" s="1"/>
  <c r="A14" i="19" s="1"/>
  <c r="A12" i="17"/>
  <c r="A12" i="18" s="1"/>
  <c r="A8" i="3"/>
  <c r="A8" i="4" s="1"/>
  <c r="A8" i="5" s="1"/>
  <c r="A8" i="6" s="1"/>
  <c r="AH15" i="5"/>
  <c r="A15" i="6" s="1"/>
  <c r="AG15" i="7"/>
  <c r="B12" i="13"/>
  <c r="B28" i="13" s="1"/>
  <c r="B11" i="13"/>
  <c r="B10" i="13"/>
  <c r="B27" i="13" s="1"/>
  <c r="B9" i="13"/>
  <c r="B14" i="8"/>
  <c r="B11" i="8"/>
  <c r="B10" i="8"/>
  <c r="B14" i="7"/>
  <c r="B12" i="7"/>
  <c r="B11" i="7"/>
  <c r="B14" i="6"/>
  <c r="B12" i="6"/>
  <c r="B11" i="6"/>
  <c r="B14" i="5"/>
  <c r="B12" i="5"/>
  <c r="B11" i="5"/>
  <c r="B14" i="4"/>
  <c r="B13" i="4"/>
  <c r="B12" i="4"/>
  <c r="B11" i="4"/>
  <c r="B14" i="3"/>
  <c r="B13" i="3"/>
  <c r="B12" i="3"/>
  <c r="B11" i="3"/>
  <c r="B6" i="3"/>
  <c r="B7" i="3"/>
  <c r="B8" i="13"/>
  <c r="B25" i="13" s="1"/>
  <c r="B7" i="13"/>
  <c r="B24" i="13" s="1"/>
  <c r="B6" i="13"/>
  <c r="B5" i="13"/>
  <c r="B22" i="13" s="1"/>
  <c r="B4" i="13"/>
  <c r="B21" i="13" s="1"/>
  <c r="B9" i="8"/>
  <c r="B8" i="8"/>
  <c r="B7" i="8"/>
  <c r="B6" i="8"/>
  <c r="B10" i="7"/>
  <c r="B9" i="7"/>
  <c r="B8" i="7"/>
  <c r="B7" i="7"/>
  <c r="B6" i="7"/>
  <c r="B10" i="6"/>
  <c r="B9" i="6"/>
  <c r="B8" i="6"/>
  <c r="B7" i="6"/>
  <c r="B6" i="6"/>
  <c r="B10" i="5"/>
  <c r="B9" i="5"/>
  <c r="B8" i="5"/>
  <c r="B7" i="5"/>
  <c r="B6" i="5"/>
  <c r="B10" i="4"/>
  <c r="B9" i="4"/>
  <c r="B8" i="4"/>
  <c r="B7" i="4"/>
  <c r="B6" i="4"/>
  <c r="B10" i="3"/>
  <c r="B9" i="3"/>
  <c r="B8" i="3"/>
  <c r="A15" i="8" l="1"/>
  <c r="A15" i="9" s="1"/>
  <c r="A15" i="10" s="1"/>
  <c r="A15" i="11" s="1"/>
  <c r="A15" i="12" s="1"/>
  <c r="A15" i="16" s="1"/>
  <c r="AH6" i="10"/>
  <c r="AG6" i="10"/>
  <c r="AH14" i="12"/>
  <c r="AG14" i="12"/>
  <c r="AG10" i="7"/>
  <c r="AH10" i="7"/>
  <c r="AG13" i="5"/>
  <c r="AH13" i="5"/>
  <c r="A13" i="6" s="1"/>
  <c r="A13" i="7" s="1"/>
  <c r="AG9" i="5"/>
  <c r="AH9" i="5"/>
  <c r="AH14" i="5"/>
  <c r="AG14" i="5"/>
  <c r="AH12" i="7"/>
  <c r="AG12" i="7"/>
  <c r="AH12" i="10"/>
  <c r="AG12" i="10"/>
  <c r="AH10" i="5"/>
  <c r="AG10" i="5"/>
  <c r="AH6" i="7"/>
  <c r="AG6" i="7"/>
  <c r="AG9" i="10"/>
  <c r="AH9" i="10"/>
  <c r="AH13" i="7"/>
  <c r="AG13" i="7"/>
  <c r="AH13" i="10"/>
  <c r="AG13" i="10"/>
  <c r="AH11" i="12"/>
  <c r="AG11" i="12"/>
  <c r="AH9" i="7"/>
  <c r="AG9" i="7"/>
  <c r="AH8" i="5"/>
  <c r="AG8" i="5"/>
  <c r="AG7" i="10"/>
  <c r="AH7" i="10"/>
  <c r="AH9" i="12"/>
  <c r="AG9" i="12"/>
  <c r="AH11" i="7"/>
  <c r="AG11" i="7"/>
  <c r="AH11" i="10"/>
  <c r="AG11" i="10"/>
  <c r="AH8" i="10"/>
  <c r="AG8" i="10"/>
  <c r="AH10" i="12"/>
  <c r="AG10" i="12"/>
  <c r="AH7" i="7"/>
  <c r="A7" i="8" s="1"/>
  <c r="A7" i="9" s="1"/>
  <c r="A7" i="10" s="1"/>
  <c r="A7" i="11" s="1"/>
  <c r="A7" i="12" s="1"/>
  <c r="AG7" i="7"/>
  <c r="AH10" i="10"/>
  <c r="AG10" i="10"/>
  <c r="AH6" i="12"/>
  <c r="AG6" i="12"/>
  <c r="AH14" i="7"/>
  <c r="AG14" i="7"/>
  <c r="AH14" i="10"/>
  <c r="AG14" i="10"/>
  <c r="AH12" i="12"/>
  <c r="AG12" i="12"/>
  <c r="AG6" i="5"/>
  <c r="AH6" i="5"/>
  <c r="AH8" i="7"/>
  <c r="AG8" i="7"/>
  <c r="AH7" i="12"/>
  <c r="AG7" i="12"/>
  <c r="AH11" i="5"/>
  <c r="AG11" i="5"/>
  <c r="AH13" i="12"/>
  <c r="AG13" i="12"/>
  <c r="AH7" i="5"/>
  <c r="A7" i="6" s="1"/>
  <c r="AG7" i="5"/>
  <c r="AH8" i="12"/>
  <c r="AG8" i="12"/>
  <c r="AH12" i="5"/>
  <c r="AG12" i="5"/>
  <c r="A14" i="8" l="1"/>
  <c r="A14" i="9" s="1"/>
  <c r="A14" i="10" s="1"/>
  <c r="A14" i="11" s="1"/>
  <c r="A14" i="12" s="1"/>
  <c r="A14" i="16" s="1"/>
  <c r="A12" i="8"/>
  <c r="A12" i="9" s="1"/>
  <c r="A12" i="10" s="1"/>
  <c r="A12" i="11" s="1"/>
  <c r="A12" i="12" s="1"/>
  <c r="A12" i="16" s="1"/>
  <c r="A11" i="8"/>
  <c r="A11" i="9" s="1"/>
  <c r="A11" i="10" s="1"/>
  <c r="A11" i="11" s="1"/>
  <c r="A11" i="12" s="1"/>
  <c r="A11" i="16" s="1"/>
  <c r="A8" i="11"/>
  <c r="A8" i="12" s="1"/>
  <c r="A8" i="16" s="1"/>
  <c r="A9" i="8"/>
  <c r="A9" i="9" s="1"/>
  <c r="A9" i="10" s="1"/>
  <c r="A9" i="11" s="1"/>
  <c r="A9" i="12" s="1"/>
  <c r="A9" i="16" s="1"/>
  <c r="A13" i="16"/>
  <c r="A13" i="17" s="1"/>
  <c r="A13" i="18" s="1"/>
  <c r="A13" i="19" s="1"/>
  <c r="A7" i="16"/>
  <c r="A13" i="11"/>
  <c r="A13" i="12" s="1"/>
  <c r="A10" i="8"/>
  <c r="A10" i="9" s="1"/>
  <c r="A10" i="10" s="1"/>
  <c r="A10" i="11" s="1"/>
  <c r="A10" i="12" s="1"/>
  <c r="A10" i="16" s="1"/>
  <c r="A8" i="8"/>
  <c r="A8" i="9" s="1"/>
  <c r="A8" i="10" s="1"/>
  <c r="A6" i="8"/>
  <c r="A6" i="9" s="1"/>
  <c r="A6" i="10" s="1"/>
  <c r="A6" i="11" s="1"/>
  <c r="A6" i="12" s="1"/>
  <c r="A6" i="16" s="1"/>
  <c r="A6" i="17" s="1"/>
  <c r="A6" i="18" s="1"/>
  <c r="A11" i="6"/>
  <c r="A6" i="6"/>
</calcChain>
</file>

<file path=xl/comments1.xml><?xml version="1.0" encoding="utf-8"?>
<comments xmlns="http://schemas.openxmlformats.org/spreadsheetml/2006/main">
  <authors>
    <author>K maniraja</author>
  </authors>
  <commentList>
    <comment ref="A13" authorId="0" shapeId="0">
      <text>
        <r>
          <rPr>
            <b/>
            <sz val="9"/>
            <color indexed="81"/>
            <rFont val="Tahoma"/>
            <charset val="1"/>
          </rPr>
          <t>K maniraja:</t>
        </r>
        <r>
          <rPr>
            <sz val="9"/>
            <color indexed="81"/>
            <rFont val="Tahoma"/>
            <charset val="1"/>
          </rPr>
          <t xml:space="preserve">
Added as per Mail</t>
        </r>
      </text>
    </comment>
  </commentList>
</comments>
</file>

<file path=xl/comments2.xml><?xml version="1.0" encoding="utf-8"?>
<comments xmlns="http://schemas.openxmlformats.org/spreadsheetml/2006/main">
  <authors>
    <author>K maniraja</author>
  </authors>
  <commentList>
    <comment ref="A14" authorId="0" shapeId="0">
      <text>
        <r>
          <rPr>
            <b/>
            <sz val="9"/>
            <color indexed="81"/>
            <rFont val="Tahoma"/>
            <charset val="1"/>
          </rPr>
          <t>K maniraja:</t>
        </r>
        <r>
          <rPr>
            <sz val="9"/>
            <color indexed="81"/>
            <rFont val="Tahoma"/>
            <charset val="1"/>
          </rPr>
          <t xml:space="preserve">
Added as per mail PA Bagde</t>
        </r>
      </text>
    </comment>
  </commentList>
</comments>
</file>

<file path=xl/comments3.xml><?xml version="1.0" encoding="utf-8"?>
<comments xmlns="http://schemas.openxmlformats.org/spreadsheetml/2006/main">
  <authors>
    <author>K maniraja</author>
  </authors>
  <commentList>
    <comment ref="A13" authorId="0" shapeId="0">
      <text>
        <r>
          <rPr>
            <b/>
            <sz val="9"/>
            <color indexed="81"/>
            <rFont val="Tahoma"/>
            <charset val="1"/>
          </rPr>
          <t>K maniraja:</t>
        </r>
        <r>
          <rPr>
            <sz val="9"/>
            <color indexed="81"/>
            <rFont val="Tahoma"/>
            <charset val="1"/>
          </rPr>
          <t xml:space="preserve">
Added as per Mail</t>
        </r>
      </text>
    </comment>
  </commentList>
</comments>
</file>

<file path=xl/sharedStrings.xml><?xml version="1.0" encoding="utf-8"?>
<sst xmlns="http://schemas.openxmlformats.org/spreadsheetml/2006/main" count="2206" uniqueCount="86">
  <si>
    <t>Tue</t>
  </si>
  <si>
    <t>Wed</t>
  </si>
  <si>
    <t>Thu</t>
  </si>
  <si>
    <t>Fri</t>
  </si>
  <si>
    <t>Sat</t>
  </si>
  <si>
    <t>Sun</t>
  </si>
  <si>
    <t>Mon</t>
  </si>
  <si>
    <t>Employee Name</t>
  </si>
  <si>
    <t>Employee</t>
  </si>
  <si>
    <t>Name</t>
  </si>
  <si>
    <t>Attendance Tracker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</si>
  <si>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</si>
  <si>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</si>
  <si>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</si>
  <si>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</si>
  <si>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</si>
  <si>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</si>
  <si>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</si>
  <si>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</si>
  <si>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</si>
  <si>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</si>
  <si>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</si>
  <si>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</si>
  <si>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KC Tirkey</t>
  </si>
  <si>
    <t>GN Madhei</t>
  </si>
  <si>
    <t>S Lakra</t>
  </si>
  <si>
    <t>SK Maharana</t>
  </si>
  <si>
    <t>PK Sahoo Sr</t>
  </si>
  <si>
    <t>RK Singh</t>
  </si>
  <si>
    <t>PK Sahoo Jr</t>
  </si>
  <si>
    <t>D Pangi</t>
  </si>
  <si>
    <t>S Behera</t>
  </si>
  <si>
    <t>Extra Working days this month</t>
  </si>
  <si>
    <t>Addition this month</t>
  </si>
  <si>
    <t>CO Availed this month</t>
  </si>
  <si>
    <t>CO Leave count</t>
  </si>
  <si>
    <t>Extra Working days count</t>
  </si>
  <si>
    <t>Monthly count</t>
  </si>
  <si>
    <t>CF Balance</t>
  </si>
  <si>
    <t>E</t>
  </si>
  <si>
    <t>CO</t>
  </si>
  <si>
    <t>Legend: CO- CO AVAILED, E-EXTRA DUTY</t>
  </si>
  <si>
    <t>PNRout 48 Nos transferred to Red Area-2</t>
  </si>
  <si>
    <t>S Behera 14 Nos transferred to Red Area-2</t>
  </si>
  <si>
    <t>PN Rout</t>
  </si>
  <si>
    <t>S C Behera</t>
  </si>
  <si>
    <t>M Bishi</t>
  </si>
  <si>
    <t>co</t>
  </si>
  <si>
    <t>S K Sahoo</t>
  </si>
  <si>
    <t>January 2024</t>
  </si>
  <si>
    <t>February 2024</t>
  </si>
  <si>
    <t>mARCH 2024</t>
  </si>
  <si>
    <t>A K Dalai</t>
  </si>
  <si>
    <t>April 2024</t>
  </si>
  <si>
    <t>SAT</t>
  </si>
  <si>
    <t>SUN</t>
  </si>
  <si>
    <t>MON</t>
  </si>
  <si>
    <t>TUE</t>
  </si>
  <si>
    <t>WED</t>
  </si>
  <si>
    <t>THU</t>
  </si>
  <si>
    <t>FRI</t>
  </si>
  <si>
    <t>M C Tudu</t>
  </si>
  <si>
    <t>Jan'24</t>
  </si>
  <si>
    <t>Apr'24</t>
  </si>
  <si>
    <t>July'24</t>
  </si>
  <si>
    <t>S R Mahto</t>
  </si>
  <si>
    <t>TOTAL</t>
  </si>
  <si>
    <t>Apr'23</t>
  </si>
  <si>
    <t>July'23</t>
  </si>
  <si>
    <t>Oct'24</t>
  </si>
  <si>
    <t>Toal</t>
  </si>
  <si>
    <t>S K Nayak</t>
  </si>
  <si>
    <t>May 2024</t>
  </si>
  <si>
    <t>June 2024</t>
  </si>
  <si>
    <t>July 2024</t>
  </si>
  <si>
    <t>Aug 2024</t>
  </si>
  <si>
    <t>Sep 2024</t>
  </si>
  <si>
    <t>Oct 2024</t>
  </si>
  <si>
    <t>Nov 2024</t>
  </si>
  <si>
    <t>Dec 2024</t>
  </si>
  <si>
    <t>Jan2025</t>
  </si>
  <si>
    <t>SK Parida</t>
  </si>
  <si>
    <t>S K Parida</t>
  </si>
  <si>
    <t>Feb2025</t>
  </si>
  <si>
    <t>mar 2025</t>
  </si>
  <si>
    <t>Apr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</si>
</sst>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rgb="FF000000"/>
      <name val="Calibri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1"/>
    </font>
    <font>
      <sz val="10"/>
      <color theme="10"/>
      <name val="Calibri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FF0000"/>
      <name val="Calibri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0" fillId="0" borderId="0" xfId="0" applyFill="1" applyBorder="1"/>
    <xf numFmtId="49" fontId="3" fillId="0" borderId="0" xfId="0" applyNumberFormat="1" applyFont="1" applyAlignment="1">
      <alignment horizontal="right"/>
    </xf>
    <xf numFmtId="0" fontId="6" fillId="0" borderId="0" xfId="1" applyFont="1"/>
    <xf numFmtId="49" fontId="3" fillId="0" borderId="0" xfId="0" applyNumberFormat="1" applyFont="1" applyAlignment="1"/>
    <xf numFmtId="0" fontId="0" fillId="0" borderId="0" xfId="0" applyBorder="1"/>
    <xf numFmtId="0" fontId="1" fillId="0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9" fillId="8" borderId="0" xfId="0" applyFont="1" applyFill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0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1" name="Table1" displayName="Table1" ref="A2:A19" totalsRowShown="0">
  <autoFilter ref="A2:A19"/>
  <sortState ref="A3:A11">
    <sortCondition ref="A3:A11"/>
  </sortState>
  <tableColumns count="1">
    <tableColumn id="1" name="Employee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Ruler="0" topLeftCell="A13" zoomScale="120" zoomScaleNormal="120" workbookViewId="0">
      <selection activeCell="K26" sqref="K26"/>
    </sheetView>
  </sheetViews>
  <sheetFormatPr defaultColWidth="11" defaultRowHeight="15.75" x14ac:dyDescent="0.25"/>
  <cols>
    <col min="1" max="1" width="7.125" bestFit="1" customWidth="1"/>
    <col min="2" max="2" width="15" customWidth="1"/>
    <col min="3" max="3" width="11.375" bestFit="1" customWidth="1"/>
    <col min="4" max="4" width="10.625" bestFit="1" customWidth="1"/>
    <col min="5" max="5" width="10.875" bestFit="1" customWidth="1"/>
    <col min="6" max="6" width="7.125" bestFit="1" customWidth="1"/>
  </cols>
  <sheetData>
    <row r="1" spans="1:6" ht="12" customHeight="1" x14ac:dyDescent="0.25"/>
    <row r="2" spans="1:6" ht="12" customHeight="1" x14ac:dyDescent="0.25">
      <c r="C2" s="46"/>
      <c r="D2" s="46"/>
      <c r="E2" s="46"/>
    </row>
    <row r="3" spans="1:6" ht="45" customHeight="1" x14ac:dyDescent="0.25">
      <c r="B3" s="21" t="s">
        <v>8</v>
      </c>
      <c r="C3" s="22" t="s">
        <v>35</v>
      </c>
      <c r="D3" s="23" t="s">
        <v>36</v>
      </c>
      <c r="E3" s="24" t="s">
        <v>37</v>
      </c>
    </row>
    <row r="4" spans="1:6" ht="20.100000000000001" customHeight="1" x14ac:dyDescent="0.25">
      <c r="B4" s="1" t="str">
        <f>Jan!B6</f>
        <v>KC Tirkey</v>
      </c>
      <c r="C4" s="1">
        <f>Jan!AH6+Feb!AE6+Mar!AH6+Apr!AG6+May!AH6+Jun!AG6+Jul!AH6+Aug!AH6+Sep!AG6+Oct!AH6+Nov!AG6+Dec!AH6</f>
        <v>29</v>
      </c>
      <c r="D4" s="40">
        <f>Jan!AI6+Feb!AF6+Mar!AI6+Apr!AH6+May!AI6+Jun!AH6+Jul!AI6+Aug!AI6+Sep!AH6+Oct!AI6+Nov!AH6+Dec!AI6</f>
        <v>25</v>
      </c>
      <c r="E4" s="40">
        <f>Jan!AJ6+Feb!AG6+Mar!AJ6+Apr!AI6+May!AJ6+Jun!AI6+Jul!AJ6+Aug!AJ6+Sep!AI6+Oct!AJ6+Nov!AI6+Dec!AJ6</f>
        <v>12</v>
      </c>
      <c r="F4" s="47">
        <v>2023</v>
      </c>
    </row>
    <row r="5" spans="1:6" ht="20.100000000000001" customHeight="1" x14ac:dyDescent="0.25">
      <c r="B5" s="1" t="str">
        <f>Jan!B7</f>
        <v>GN Madhei</v>
      </c>
      <c r="C5" s="40">
        <f>Jan!AH7+Feb!AE7+Mar!AH7+Apr!AG7+May!AH7+Jun!AG7+Jul!AH7+Aug!AH7+Sep!AG7+Oct!AH7+Nov!AG7+Dec!AH7</f>
        <v>54</v>
      </c>
      <c r="D5" s="40">
        <f>Jan!AI7+Feb!AF7+Mar!AI7+Apr!AH7+May!AI7+Jun!AH7+Jul!AI7+Aug!AI7+Sep!AH7+Oct!AI7+Nov!AH7+Dec!AI7</f>
        <v>34</v>
      </c>
      <c r="E5" s="40">
        <f>Jan!AJ7+Feb!AG7+Mar!AJ7+Apr!AI7+May!AJ7+Jun!AI7+Jul!AJ7+Aug!AJ7+Sep!AI7+Oct!AJ7+Nov!AI7+Dec!AJ7</f>
        <v>12</v>
      </c>
      <c r="F5" s="48"/>
    </row>
    <row r="6" spans="1:6" ht="20.100000000000001" customHeight="1" x14ac:dyDescent="0.25">
      <c r="B6" s="1" t="str">
        <f>Jan!B8</f>
        <v>S Behera</v>
      </c>
      <c r="C6" s="33">
        <f>SUM(Jan!AH8+Feb!AE8+Mar!AH8+Apr!AG8+May!AH8+Jun!AG8)</f>
        <v>18</v>
      </c>
      <c r="D6" s="33">
        <f>SUM(Jan!AI8+Feb!AF8+Mar!AI8+Apr!AH8+May!AI8+Jun!AH8)</f>
        <v>7</v>
      </c>
      <c r="E6" s="33">
        <f>SUM(Jan!AJ8+Feb!AG8+Mar!AJ8+Apr!AI8+May!AJ8+Jun!AI8)</f>
        <v>6</v>
      </c>
      <c r="F6" s="48"/>
    </row>
    <row r="7" spans="1:6" ht="20.100000000000001" customHeight="1" x14ac:dyDescent="0.25">
      <c r="B7" s="1" t="str">
        <f>Jan!B9</f>
        <v>S Lakra</v>
      </c>
      <c r="C7" s="33">
        <f>Jan!AH9+Feb!AE9+Mar!AH9+Apr!AG9+May!AH9+Jun!AG9+Jul!AH8+Aug!AH8+Sep!AG8+Oct!AH8+Nov!AG8+Dec!AH8</f>
        <v>32</v>
      </c>
      <c r="D7" s="40">
        <f>Jan!AI9+Feb!AF9+Mar!AI9+Apr!AH9+May!AI9+Jun!AH9+Jul!AI8+Aug!AI8+Sep!AH8+Oct!AI8+Nov!AH8+Dec!AI8</f>
        <v>18</v>
      </c>
      <c r="E7" s="40">
        <f>Jan!AJ9+Feb!AG9+Mar!AJ9+Apr!AI9+May!AJ9+Jun!AI9+Jul!AJ8+Aug!AJ8+Sep!AI8+Oct!AJ8+Nov!AI8+Dec!AJ8</f>
        <v>12</v>
      </c>
      <c r="F7" s="48"/>
    </row>
    <row r="8" spans="1:6" ht="20.100000000000001" customHeight="1" x14ac:dyDescent="0.25">
      <c r="B8" s="1" t="str">
        <f>Jan!B10</f>
        <v>SK Maharana</v>
      </c>
      <c r="C8" s="40">
        <f>Jan!AH10+Feb!AE10+Mar!AH10+Apr!AG10+May!AH10+Jun!AG10+Jul!AH9+Aug!AH9+Sep!AG9+Oct!AH9+Nov!AG9+Dec!AH9</f>
        <v>33</v>
      </c>
      <c r="D8" s="40">
        <f>Jan!AI10+Feb!AF10+Mar!AI10+Apr!AH10+May!AI10+Jun!AH10+Jul!AI9+Aug!AI9+Sep!AH9+Oct!AI9+Nov!AH9+Dec!AI9</f>
        <v>14</v>
      </c>
      <c r="E8" s="40">
        <f>Jan!AJ10+Feb!AG10+Mar!AJ10+Apr!AI10+May!AJ10+Jun!AI10+Jul!AJ9+Aug!AJ9+Sep!AI9+Oct!AJ9+Nov!AI9+Dec!AJ9</f>
        <v>12</v>
      </c>
      <c r="F8" s="48"/>
    </row>
    <row r="9" spans="1:6" ht="20.100000000000001" customHeight="1" x14ac:dyDescent="0.25">
      <c r="B9" s="1" t="str">
        <f>Jan!B11</f>
        <v>PK Sahoo Sr</v>
      </c>
      <c r="C9" s="33">
        <f>Jan!AH11+Feb!AE11+Mar!AH11+Apr!AG11+May!AH11+Jun!AG11+Jul!AH10+Aug!AH10+Sep!AG10+Oct!AH10+Nov!AG10+Dec!AH10</f>
        <v>36</v>
      </c>
      <c r="D9" s="40">
        <f>Jan!AI11+Feb!AF11+Mar!AI11+Apr!AH11+May!AI11+Jun!AH11+Jul!AI10+Aug!AI10+Sep!AH10+Oct!AI10+Nov!AH10+Dec!AI10</f>
        <v>19</v>
      </c>
      <c r="E9" s="40">
        <f>Jan!AJ11+Feb!AG11+Mar!AJ11+Apr!AI11+May!AJ11+Jun!AI11+Jul!AJ10+Aug!AJ10+Sep!AI10+Oct!AJ10+Nov!AI10+Dec!AJ10</f>
        <v>12</v>
      </c>
      <c r="F9" s="48"/>
    </row>
    <row r="10" spans="1:6" ht="20.100000000000001" customHeight="1" x14ac:dyDescent="0.25">
      <c r="B10" s="1" t="str">
        <f>Jan!B12</f>
        <v>RK Singh</v>
      </c>
      <c r="C10" s="33">
        <f>(Jan!AH12+Feb!AE12+Mar!AH12+Apr!AG12+May!AH12+Jun!AG12+Jul!AH11+Aug!AH11+Sep!AG11+Oct!AH11+Nov!AG11+Dec!AH11)</f>
        <v>16</v>
      </c>
      <c r="D10" s="33">
        <f>SUM(Jan!AI12+Feb!AF12+Mar!AI12+Apr!AH12+May!AI12+Jun!AH12+Jul!AI12)</f>
        <v>4</v>
      </c>
      <c r="E10" s="33">
        <f>SUM(Jan!AJ12+Feb!AG12+Mar!AJ12+Apr!AI12+May!AJ12+Jun!AI12+Jul!AJ12+Aug!AJ12+Sep!AI12+Oct!AJ12+Nov!AI12+Dec!AJ12)</f>
        <v>12</v>
      </c>
      <c r="F10" s="48"/>
    </row>
    <row r="11" spans="1:6" ht="20.100000000000001" customHeight="1" x14ac:dyDescent="0.25">
      <c r="B11" s="1" t="str">
        <f>Jan!B13</f>
        <v>PN Rout</v>
      </c>
      <c r="C11" s="33">
        <f>Jan!AH13+Feb!AE13+Mar!AH13</f>
        <v>8</v>
      </c>
      <c r="D11" s="40">
        <f>Jan!AI13+Feb!AF13+Mar!AI13</f>
        <v>3</v>
      </c>
      <c r="E11" s="40">
        <f>Jan!AJ13+Feb!AG13+Mar!AJ13</f>
        <v>3</v>
      </c>
      <c r="F11" s="48"/>
    </row>
    <row r="12" spans="1:6" ht="20.100000000000001" customHeight="1" x14ac:dyDescent="0.25">
      <c r="B12" s="1" t="str">
        <f>Jan!B14</f>
        <v>PK Sahoo Jr</v>
      </c>
      <c r="C12" s="33">
        <f>Jan!AH14+Feb!AE14+Mar!AH14+Apr!AG14+May!AH14+Jun!AG14+Jul!AH14+Aug!AH14+Sep!AG14+Oct!AH14+Nov!AG14+Dec!AH14</f>
        <v>30</v>
      </c>
      <c r="D12" s="40">
        <f>Jan!AI14+Feb!AF14+Mar!AI14+Apr!AH14+May!AI14+Jun!AH14+Jul!AI14+Aug!AI14+Sep!AH14+Oct!AI14+Nov!AH14+Dec!AI14</f>
        <v>14</v>
      </c>
      <c r="E12" s="40">
        <f>Jan!AJ14+Feb!AG14+Mar!AJ14+Apr!AI14+May!AJ14+Jun!AI14+Jul!AJ14+Aug!AJ14+Sep!AI14+Oct!AJ14+Nov!AI14+Dec!AJ14</f>
        <v>12</v>
      </c>
      <c r="F12" s="48"/>
    </row>
    <row r="13" spans="1:6" x14ac:dyDescent="0.25">
      <c r="B13" s="29" t="str">
        <f>Jan!B15</f>
        <v>D Pangi</v>
      </c>
      <c r="C13" s="33">
        <f>SUM(Jan!AH15+Feb!AE15+Mar!AH15+Apr!AG15+May!AH15+Jun!AG15+Jul!AH15+Aug!AH15+Sep!AG15+Oct!AH15+Nov!AG15+Dec!AH15)</f>
        <v>3</v>
      </c>
      <c r="D13" s="33">
        <f>SUM(Jan!AI15+Feb!AF15+Mar!AI15+Apr!AH15+May!AI15+Jun!AH15+Jul!AI15+Aug!AI15+Sep!AH15+Oct!AI15+Nov!AH15+Dec!AI15)</f>
        <v>0</v>
      </c>
      <c r="E13" s="33">
        <f>SUM(Jan!AJ15+Feb!AG15+Mar!AJ15+Apr!AI15+May!AJ15+Jun!AI15+Jul!AJ15+Aug!AJ15+Sep!AI15+Oct!AJ15+Nov!AI15+Dec!AJ15)</f>
        <v>12</v>
      </c>
      <c r="F13" s="48"/>
    </row>
    <row r="14" spans="1:6" x14ac:dyDescent="0.25">
      <c r="A14" t="s">
        <v>67</v>
      </c>
      <c r="B14" s="29" t="str">
        <f>Jan!B16</f>
        <v>M Bishi</v>
      </c>
      <c r="C14" s="33">
        <f>Apr!AG13+May!AH13+Jun!AG13+Jul!AH12+Aug!AH12+Sep!AG12+Oct!AH12+Nov!AG12+Dec!AH12</f>
        <v>16</v>
      </c>
      <c r="D14" s="40">
        <f>Apr!AH13+May!AI13+Jun!AH13+Jul!AI12+Aug!AI12+Sep!AH12+Oct!AI12+Nov!AH12+Dec!AI12</f>
        <v>10</v>
      </c>
      <c r="E14" s="40">
        <f>Apr!AI13+May!AJ13+Jun!AI13+Jul!AJ12+Aug!AJ12+Sep!AI12+Oct!AJ12+Nov!AI12+Dec!AJ12</f>
        <v>9</v>
      </c>
      <c r="F14" s="48"/>
    </row>
    <row r="15" spans="1:6" x14ac:dyDescent="0.25">
      <c r="A15" t="s">
        <v>68</v>
      </c>
      <c r="B15" s="29" t="str">
        <f>Jan!B17</f>
        <v>S C Behera</v>
      </c>
      <c r="C15" s="33">
        <f>Jul!AH13+Aug!AH13+Sep!AG13+Oct!AH13+Nov!AG13+Dec!AH13</f>
        <v>16</v>
      </c>
      <c r="D15" s="40">
        <f>Jul!AI13+Aug!AI13+Sep!AH13+Oct!AI13+Nov!AH13+Dec!AI13</f>
        <v>0</v>
      </c>
      <c r="E15" s="40">
        <f>Jul!AJ13+Aug!AJ13+Sep!AI13+Oct!AJ13+Nov!AI13+Dec!AJ13</f>
        <v>6</v>
      </c>
      <c r="F15" s="49"/>
    </row>
    <row r="16" spans="1:6" hidden="1" x14ac:dyDescent="0.25">
      <c r="B16" s="30" t="str">
        <f>Jan!B18</f>
        <v>S K Sahoo</v>
      </c>
      <c r="C16" s="30"/>
      <c r="D16" s="30"/>
      <c r="E16" s="30"/>
      <c r="F16" s="39"/>
    </row>
    <row r="17" spans="1:6" hidden="1" x14ac:dyDescent="0.25">
      <c r="B17" s="37" t="str">
        <f>Jan!B19</f>
        <v>A K Dalai</v>
      </c>
    </row>
    <row r="18" spans="1:6" hidden="1" x14ac:dyDescent="0.25">
      <c r="B18" s="43" t="str">
        <f>Jan!B20</f>
        <v>M C Tudu</v>
      </c>
    </row>
    <row r="19" spans="1:6" x14ac:dyDescent="0.25">
      <c r="B19" s="44" t="s">
        <v>66</v>
      </c>
      <c r="C19" s="44">
        <f>SUM(C4:C18)</f>
        <v>291</v>
      </c>
      <c r="D19" s="44">
        <f t="shared" ref="D19:E19" si="0">SUM(D4:D18)</f>
        <v>148</v>
      </c>
      <c r="E19" s="44">
        <f t="shared" si="0"/>
        <v>120</v>
      </c>
    </row>
    <row r="20" spans="1:6" ht="25.5" x14ac:dyDescent="0.25">
      <c r="B20" s="21" t="s">
        <v>8</v>
      </c>
      <c r="C20" s="22" t="s">
        <v>35</v>
      </c>
      <c r="D20" s="23" t="s">
        <v>36</v>
      </c>
      <c r="E20" s="24" t="s">
        <v>37</v>
      </c>
    </row>
    <row r="21" spans="1:6" ht="15.75" customHeight="1" x14ac:dyDescent="0.25">
      <c r="B21" s="37" t="str">
        <f t="shared" ref="B21:B22" si="1">B4</f>
        <v>KC Tirkey</v>
      </c>
      <c r="C21" s="37">
        <f>'Jan24'!AH6+'FEB24'!AH6+'mAR24'!AH6+'Apr24'!AH6+'mAY24'!AH6+'jUN24'!AH6+jULY24!AH6+'aUG''24'!AH6+'Sep''24'!AH6</f>
        <v>45</v>
      </c>
      <c r="D21" s="40">
        <f>'Jan24'!AI6+'FEB24'!AI6+'mAR24'!AI6+'Apr24'!AI6+'mAY24'!AI6+'jUN24'!AI6+jULY24!AI6+'aUG''24'!AI6+'Sep''24'!AI6</f>
        <v>34</v>
      </c>
      <c r="E21" s="40">
        <f>'Jan24'!AJ6+'FEB24'!AJ6+'mAR24'!AJ6+'Apr24'!AJ6+'mAY24'!AJ6+'jUN24'!AJ6+jULY24!AJ6+'aUG''24'!AJ6+'Sep''24'!AJ6</f>
        <v>9</v>
      </c>
      <c r="F21" s="50">
        <v>2024</v>
      </c>
    </row>
    <row r="22" spans="1:6" x14ac:dyDescent="0.25">
      <c r="B22" s="37" t="str">
        <f t="shared" si="1"/>
        <v>GN Madhei</v>
      </c>
      <c r="C22" s="40">
        <f>'Jan24'!AH7+'FEB24'!AH7+'mAR24'!AH7+'Apr24'!AH7+'mAY24'!AH7+'jUN24'!AH7+jULY24!AH7+'aUG''24'!AH7+'Sep''24'!AH7+'oct''24'!AH7+'nov''24'!AH7+'dec''24'!AH7</f>
        <v>50</v>
      </c>
      <c r="D22" s="40">
        <f>'Jan24'!AI7+'FEB24'!AI7+'mAR24'!AI7+'Apr24'!AI7+'mAY24'!AI7+'jUN24'!AI7+jULY24!AI7+'aUG''24'!AI7+'Sep''24'!AI7+'oct''24'!AI7+'nov''24'!AI7+'dec''24'!AI7</f>
        <v>29</v>
      </c>
      <c r="E22" s="40">
        <f>'Jan24'!AJ7+'FEB24'!AJ7+'mAR24'!AJ7+'Apr24'!AJ7+'mAY24'!AJ7+'jUN24'!AJ7+jULY24!AJ7+'aUG''24'!AJ7+'Sep''24'!AJ7+'oct''24'!AJ7+'nov''24'!AJ7+'dec''24'!AJ7</f>
        <v>12</v>
      </c>
      <c r="F22" s="50"/>
    </row>
    <row r="23" spans="1:6" x14ac:dyDescent="0.25">
      <c r="A23" t="s">
        <v>62</v>
      </c>
      <c r="B23" s="37" t="str">
        <f>B16</f>
        <v>S K Sahoo</v>
      </c>
      <c r="C23" s="40">
        <f>'Jan24'!AH8+'FEB24'!AH8+'mAR24'!AH8+'Apr24'!AH8+'mAY24'!AH8+'jUN24'!AH8+jULY24!AH8+'aUG''24'!AH8+'Sep''24'!AH8+'oct''24'!AH8+'nov''24'!AH8+'dec''24'!AH8</f>
        <v>38</v>
      </c>
      <c r="D23" s="40">
        <f>'Jan24'!AI8+'FEB24'!AI8+'mAR24'!AI8+'Apr24'!AI8+'mAY24'!AI8+'jUN24'!AI8+jULY24!AI8+'aUG''24'!AI8+'Sep''24'!AI8+'oct''24'!AI8+'nov''24'!AI8+'dec''24'!AI8</f>
        <v>28</v>
      </c>
      <c r="E23" s="40">
        <f>'Jan24'!AJ8+'FEB24'!AJ8+'mAR24'!AJ8+'Apr24'!AJ8+'mAY24'!AJ8+'jUN24'!AJ8+jULY24!AJ8+'aUG''24'!AJ8+'Sep''24'!AJ8+'oct''24'!AJ8+'nov''24'!AJ8+'dec''24'!AJ8</f>
        <v>12</v>
      </c>
      <c r="F23" s="50"/>
    </row>
    <row r="24" spans="1:6" x14ac:dyDescent="0.25">
      <c r="B24" s="37" t="str">
        <f>B7</f>
        <v>S Lakra</v>
      </c>
      <c r="C24" s="37">
        <f>'Jan24'!AH9+'FEB24'!AH9+'mAR24'!AH9+'Apr24'!AH9+'mAY24'!AH9+'jUN24'!AH9</f>
        <v>23</v>
      </c>
      <c r="D24" s="40">
        <f>'Jan24'!AI9+'FEB24'!AI9+'mAR24'!AI9+'Apr24'!AI9+'mAY24'!AI9+'jUN24'!AI9</f>
        <v>19</v>
      </c>
      <c r="E24" s="40">
        <f>'Jan24'!AJ9+'FEB24'!AJ9+'mAR24'!AJ9+'Apr24'!AJ9+'mAY24'!AJ9+'jUN24'!AJ9</f>
        <v>6</v>
      </c>
      <c r="F24" s="50"/>
    </row>
    <row r="25" spans="1:6" x14ac:dyDescent="0.25">
      <c r="B25" s="37" t="str">
        <f>B8</f>
        <v>SK Maharana</v>
      </c>
      <c r="C25" s="37">
        <f>'Jan24'!AH10+'FEB24'!AH10+'mAR24'!AH10+'Apr24'!AH10+'mAY24'!AH10+'jUN24'!AH10+jULY24!AH9+'aUG''24'!AH9+'Sep''24'!AH9+'oct''24'!AH9+'nov''24'!AH9+'dec''24'!AH9</f>
        <v>20</v>
      </c>
      <c r="D25" s="40">
        <f>'Jan24'!AI10+'FEB24'!AI10+'mAR24'!AI10+'Apr24'!AI10+'mAY24'!AI10+'jUN24'!AI10+jULY24!AI9+'aUG''24'!AI9+'Sep''24'!AI9+'oct''24'!AI9+'nov''24'!AI9+'dec''24'!AI9</f>
        <v>11</v>
      </c>
      <c r="E25" s="40">
        <f>'Jan24'!AJ10+'FEB24'!AJ10+'mAR24'!AJ10+'Apr24'!AJ10+'mAY24'!AJ10+'jUN24'!AJ10+jULY24!AJ9+'aUG''24'!AJ9+'Sep''24'!AJ9+'oct''24'!AJ9+'nov''24'!AJ9+'dec''24'!AJ9</f>
        <v>12</v>
      </c>
      <c r="F25" s="50"/>
    </row>
    <row r="26" spans="1:6" x14ac:dyDescent="0.25">
      <c r="A26" t="s">
        <v>63</v>
      </c>
      <c r="B26" s="37" t="str">
        <f>B17</f>
        <v>A K Dalai</v>
      </c>
      <c r="C26" s="40">
        <f>'Apr24'!AH11+'mAY24'!AH11+'jUN24'!AH11+jULY24!AH10+'aUG''24'!AH10+'Sep''24'!AH10+'oct''24'!AH10+'nov''24'!AH10+'dec''24'!AH10</f>
        <v>36</v>
      </c>
      <c r="D26" s="40">
        <f>'Apr24'!AI11+'mAY24'!AI11+'jUN24'!AI11+jULY24!AI10+'aUG''24'!AI10+'Sep''24'!AI10+'oct''24'!AI10+'nov''24'!AI10+'dec''24'!AI10</f>
        <v>28</v>
      </c>
      <c r="E26" s="40">
        <f>'Apr24'!AJ11+'mAY24'!AJ11+'jUN24'!AJ11+jULY24!AJ10+'aUG''24'!AJ10+'Sep''24'!AJ10+'oct''24'!AJ10+'nov''24'!AJ10+'dec''24'!AJ10</f>
        <v>9</v>
      </c>
      <c r="F26" s="50"/>
    </row>
    <row r="27" spans="1:6" x14ac:dyDescent="0.25">
      <c r="B27" s="37" t="str">
        <f>B10</f>
        <v>RK Singh</v>
      </c>
      <c r="C27" s="37">
        <f>'Jan24'!AH11+'FEB24'!AH11+'mAR24'!AH11+'Apr24'!AH12+'mAY24'!AH12+'jUN24'!AH12+jULY24!AH11+'aUG''24'!AH11+'Sep''24'!AH11+'oct''24'!AH11+'nov''24'!AH11+'dec''24'!AH11</f>
        <v>15</v>
      </c>
      <c r="D27" s="40">
        <f>'Jan24'!AI11+'FEB24'!AI11+'mAR24'!AI11+'Apr24'!AI12+'mAY24'!AI12+'jUN24'!AI12+jULY24!AI11+'aUG''24'!AI11+'Sep''24'!AI11+'oct''24'!AI11+'nov''24'!AI11+'dec''24'!AI11</f>
        <v>0</v>
      </c>
      <c r="E27" s="40">
        <f>'Jan24'!AJ11+'FEB24'!AJ11+'mAR24'!AJ11+'Apr24'!AJ12+'mAY24'!AJ12+'jUN24'!AJ12+jULY24!AJ11+'aUG''24'!AJ11+'Sep''24'!AJ11+'oct''24'!AJ11+'nov''24'!AJ11+'dec''24'!AJ11</f>
        <v>12</v>
      </c>
      <c r="F27" s="50"/>
    </row>
    <row r="28" spans="1:6" x14ac:dyDescent="0.25">
      <c r="B28" s="37" t="str">
        <f>B12</f>
        <v>PK Sahoo Jr</v>
      </c>
      <c r="C28" s="37">
        <f>'Jan24'!AH14+'FEB24'!AH14+'mAR24'!AH14</f>
        <v>12</v>
      </c>
      <c r="D28" s="40">
        <f>'Jan24'!AI14+'FEB24'!AI14+'mAR24'!AI14</f>
        <v>3</v>
      </c>
      <c r="E28" s="40">
        <f>'Jan24'!AJ14+'FEB24'!AJ14+'mAR24'!AJ14</f>
        <v>3</v>
      </c>
      <c r="F28" s="50"/>
    </row>
    <row r="29" spans="1:6" x14ac:dyDescent="0.25">
      <c r="B29" s="37" t="str">
        <f>B13</f>
        <v>D Pangi</v>
      </c>
      <c r="C29" s="37">
        <f>'Jan24'!AH15+'FEB24'!AH15+'mAR24'!AH15+'Apr24'!AH15+'mAY24'!AH15+'jUN24'!AH15+jULY24!AH15+'aUG''24'!AH15+'Sep''24'!AH15+'oct''24'!AH15+'nov''24'!AH15+'dec''24'!AH15</f>
        <v>7</v>
      </c>
      <c r="D29" s="40">
        <f>'Jan24'!AI15+'FEB24'!AI15+'mAR24'!AI15+'Apr24'!AI15+'mAY24'!AI15+'jUN24'!AI15+jULY24!AI15+'aUG''24'!AI15+'Sep''24'!AI15+'oct''24'!AI15+'nov''24'!AI15+'dec''24'!AI15</f>
        <v>2</v>
      </c>
      <c r="E29" s="40">
        <f>'Jan24'!AJ15+'FEB24'!AJ15+'mAR24'!AJ15+'Apr24'!AJ15+'mAY24'!AJ15+'jUN24'!AJ15+jULY24!AJ15+'aUG''24'!AJ15+'Sep''24'!AJ15+'oct''24'!AJ15+'nov''24'!AJ15+'dec''24'!AJ15</f>
        <v>12</v>
      </c>
      <c r="F29" s="50"/>
    </row>
    <row r="30" spans="1:6" x14ac:dyDescent="0.25">
      <c r="B30" s="37" t="str">
        <f>B14</f>
        <v>M Bishi</v>
      </c>
      <c r="C30" s="37">
        <f>'Jan24'!AH12+'FEB24'!AH12+'mAR24'!AH12+'Apr24'!AH13+'mAY24'!AH13+'jUN24'!AH13+jULY24!AH12+'aUG''24'!AH12+'Sep''24'!AH12+'oct''24'!AH12+'nov''24'!AH12+'dec''24'!AH12</f>
        <v>31</v>
      </c>
      <c r="D30" s="40">
        <f>'Jan24'!AI12+'FEB24'!AI12+'mAR24'!AI12+'Apr24'!AI13+'mAY24'!AI13+'jUN24'!AI13+jULY24!AI12+'aUG''24'!AI12+'Sep''24'!AI12+'oct''24'!AI12+'nov''24'!AI12+'dec''24'!AI12</f>
        <v>14</v>
      </c>
      <c r="E30" s="40">
        <f>'Jan24'!AJ12+'FEB24'!AJ12+'mAR24'!AJ12+'Apr24'!AJ13+'mAY24'!AJ13+'jUN24'!AJ13+jULY24!AJ12+'aUG''24'!AJ12+'Sep''24'!AJ12+'oct''24'!AJ12+'nov''24'!AJ12+'dec''24'!AJ12</f>
        <v>12</v>
      </c>
      <c r="F30" s="50"/>
    </row>
    <row r="31" spans="1:6" x14ac:dyDescent="0.25">
      <c r="B31" s="37" t="str">
        <f>B15</f>
        <v>S C Behera</v>
      </c>
      <c r="C31" s="37">
        <f>'Jan24'!AH13+'FEB24'!AH13+'mAR24'!AH13+'Apr24'!AH14+'mAY24'!AH14+'jUN24'!AH14+jULY24!AH13+'aUG''24'!AH13+'Sep''24'!AH13+'oct''24'!AH13+'nov''24'!AH13+'dec''24'!AH13</f>
        <v>19</v>
      </c>
      <c r="D31" s="40">
        <f>'Jan24'!AI13+'FEB24'!AI13+'mAR24'!AI13+'Apr24'!AI14+'mAY24'!AI14+'jUN24'!AI14+jULY24!AI13+'aUG''24'!AI13+'Sep''24'!AI13+'oct''24'!AI13+'nov''24'!AI13+'dec''24'!AI13</f>
        <v>0</v>
      </c>
      <c r="E31" s="40">
        <f>'Jan24'!AJ13+'FEB24'!AJ13+'mAR24'!AJ13+'Apr24'!AJ14+'mAY24'!AJ14+'jUN24'!AJ14+jULY24!AJ13+'aUG''24'!AJ13+'Sep''24'!AJ13+'oct''24'!AJ13+'nov''24'!AJ13+'dec''24'!AJ13</f>
        <v>12</v>
      </c>
      <c r="F31" s="50"/>
    </row>
    <row r="32" spans="1:6" x14ac:dyDescent="0.25">
      <c r="A32" t="s">
        <v>64</v>
      </c>
      <c r="B32" s="37" t="str">
        <f>B18</f>
        <v>M C Tudu</v>
      </c>
      <c r="C32" s="40">
        <f>jULY24!AH14+'aUG''24'!AH14+'Sep''24'!AH14+'oct''24'!AH14+'nov''24'!AH14+'dec''24'!AH14</f>
        <v>12</v>
      </c>
      <c r="D32" s="40">
        <f>jULY24!AI14+'aUG''24'!AI14+'Sep''24'!AI14+'oct''24'!AI14+'nov''24'!AI14+'dec''24'!AI14</f>
        <v>18</v>
      </c>
      <c r="E32" s="40">
        <f>jULY24!AJ14+'aUG''24'!AJ14+'Sep''24'!AJ14+'oct''24'!AJ14+'nov''24'!AJ14+'dec''24'!AJ14</f>
        <v>6</v>
      </c>
      <c r="F32" s="50"/>
    </row>
    <row r="33" spans="1:6" x14ac:dyDescent="0.25">
      <c r="A33" t="s">
        <v>69</v>
      </c>
      <c r="B33" s="40" t="str">
        <f>Jan!B21</f>
        <v>S R Mahto</v>
      </c>
      <c r="C33" s="40">
        <f>'oct''24'!AH6+'nov''24'!AH6+'dec''24'!AH6</f>
        <v>5</v>
      </c>
      <c r="D33" s="40">
        <f>'oct''24'!AI6+'nov''24'!AI6+'dec''24'!AI6</f>
        <v>11</v>
      </c>
      <c r="E33" s="40">
        <f>'oct''24'!AJ6+'nov''24'!AJ6+'dec''24'!AJ6</f>
        <v>3</v>
      </c>
      <c r="F33" s="50"/>
    </row>
    <row r="34" spans="1:6" x14ac:dyDescent="0.25">
      <c r="B34" s="42" t="s">
        <v>70</v>
      </c>
      <c r="C34" s="42">
        <f>SUM(C21:C33)</f>
        <v>313</v>
      </c>
      <c r="D34" s="42">
        <f t="shared" ref="D34:E34" si="2">SUM(D21:D33)</f>
        <v>197</v>
      </c>
      <c r="E34" s="42">
        <f t="shared" si="2"/>
        <v>120</v>
      </c>
    </row>
  </sheetData>
  <mergeCells count="3">
    <mergeCell ref="C2:E2"/>
    <mergeCell ref="F4:F15"/>
    <mergeCell ref="F21:F3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"/>
  <sheetViews>
    <sheetView zoomScale="110" zoomScaleNormal="110" workbookViewId="0">
      <selection activeCell="F26" sqref="F26"/>
    </sheetView>
  </sheetViews>
  <sheetFormatPr defaultColWidth="11" defaultRowHeight="15.75" x14ac:dyDescent="0.25"/>
  <cols>
    <col min="1" max="1" width="8.375" style="19" customWidth="1"/>
    <col min="2" max="2" width="15" customWidth="1"/>
    <col min="3" max="33" width="4" customWidth="1"/>
    <col min="36" max="36" width="12" customWidth="1"/>
    <col min="37" max="37" width="10" customWidth="1"/>
  </cols>
  <sheetData>
    <row r="1" spans="1:38" x14ac:dyDescent="0.25">
      <c r="B1" s="6" t="s">
        <v>10</v>
      </c>
      <c r="AE1" s="57" t="s">
        <v>11</v>
      </c>
      <c r="AF1" s="57"/>
      <c r="AG1" s="57"/>
      <c r="AH1" s="57"/>
    </row>
    <row r="2" spans="1:38" x14ac:dyDescent="0.25">
      <c r="B2" s="6"/>
      <c r="AE2" s="8"/>
      <c r="AF2" s="8"/>
      <c r="AG2" s="8"/>
      <c r="AH2" s="8"/>
    </row>
    <row r="3" spans="1:38" ht="15.75" customHeight="1" x14ac:dyDescent="0.25">
      <c r="AJ3" s="7"/>
      <c r="AK3" s="7"/>
      <c r="AL3" s="7"/>
    </row>
    <row r="4" spans="1:38" ht="12" customHeight="1" x14ac:dyDescent="0.25">
      <c r="A4" s="51" t="s">
        <v>38</v>
      </c>
      <c r="B4" s="53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1">
        <v>31</v>
      </c>
      <c r="AH4" s="55" t="s">
        <v>34</v>
      </c>
      <c r="AI4" s="55" t="s">
        <v>32</v>
      </c>
      <c r="AJ4" s="55" t="s">
        <v>33</v>
      </c>
    </row>
    <row r="5" spans="1:38" ht="12" customHeight="1" x14ac:dyDescent="0.25">
      <c r="A5" s="52"/>
      <c r="B5" s="54"/>
      <c r="C5" s="1" t="s">
        <v>5</v>
      </c>
      <c r="D5" s="1" t="s">
        <v>6</v>
      </c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  <c r="L5" s="1" t="s">
        <v>0</v>
      </c>
      <c r="M5" s="1" t="s">
        <v>1</v>
      </c>
      <c r="N5" s="1" t="s">
        <v>2</v>
      </c>
      <c r="O5" s="1" t="s">
        <v>3</v>
      </c>
      <c r="P5" s="1" t="s">
        <v>4</v>
      </c>
      <c r="Q5" s="1" t="s">
        <v>5</v>
      </c>
      <c r="R5" s="1" t="s">
        <v>6</v>
      </c>
      <c r="S5" s="1" t="s">
        <v>0</v>
      </c>
      <c r="T5" s="1" t="s">
        <v>1</v>
      </c>
      <c r="U5" s="1" t="s">
        <v>2</v>
      </c>
      <c r="V5" s="1" t="s">
        <v>3</v>
      </c>
      <c r="W5" s="1" t="s">
        <v>4</v>
      </c>
      <c r="X5" s="1" t="s">
        <v>5</v>
      </c>
      <c r="Y5" s="1" t="s">
        <v>6</v>
      </c>
      <c r="Z5" s="1" t="s">
        <v>0</v>
      </c>
      <c r="AA5" s="1" t="s">
        <v>1</v>
      </c>
      <c r="AB5" s="1" t="s">
        <v>2</v>
      </c>
      <c r="AC5" s="1" t="s">
        <v>3</v>
      </c>
      <c r="AD5" s="1" t="s">
        <v>4</v>
      </c>
      <c r="AE5" s="1" t="s">
        <v>5</v>
      </c>
      <c r="AF5" s="12" t="s">
        <v>6</v>
      </c>
      <c r="AG5" s="1" t="s">
        <v>0</v>
      </c>
      <c r="AH5" s="56"/>
      <c r="AI5" s="56"/>
      <c r="AJ5" s="56"/>
    </row>
    <row r="6" spans="1:38" ht="20.100000000000001" customHeight="1" x14ac:dyDescent="0.25">
      <c r="A6" s="20">
        <v>-6</v>
      </c>
      <c r="B6" s="5" t="s">
        <v>23</v>
      </c>
      <c r="C6" s="3"/>
      <c r="D6" s="13"/>
      <c r="E6" s="2"/>
      <c r="F6" s="2"/>
      <c r="G6" s="2"/>
      <c r="H6" s="2"/>
      <c r="I6" s="3"/>
      <c r="J6" s="3"/>
      <c r="K6" s="13"/>
      <c r="L6" s="2"/>
      <c r="M6" s="2"/>
      <c r="N6" s="2"/>
      <c r="O6" s="2"/>
      <c r="P6" s="3"/>
      <c r="Q6" s="3"/>
      <c r="R6" s="13"/>
      <c r="S6" s="2"/>
      <c r="T6" s="2"/>
      <c r="U6" s="2"/>
      <c r="V6" s="2"/>
      <c r="W6" s="3"/>
      <c r="X6" s="3"/>
      <c r="Y6" s="13"/>
      <c r="Z6" s="2"/>
      <c r="AA6" s="2"/>
      <c r="AB6" s="2"/>
      <c r="AC6" s="2"/>
      <c r="AD6" s="3"/>
      <c r="AE6" s="3"/>
      <c r="AF6" s="13"/>
      <c r="AG6" s="2"/>
      <c r="AH6" s="2">
        <f>COUNTIF(C6:AG6, "CO")</f>
        <v>0</v>
      </c>
      <c r="AI6" s="2">
        <f>COUNTIF(C6:AG6, "E")</f>
        <v>0</v>
      </c>
      <c r="AJ6" s="2">
        <v>1</v>
      </c>
    </row>
    <row r="7" spans="1:38" ht="20.100000000000001" customHeight="1" x14ac:dyDescent="0.25">
      <c r="A7" s="20">
        <v>34</v>
      </c>
      <c r="B7" s="5" t="s">
        <v>24</v>
      </c>
      <c r="C7" s="3" t="s">
        <v>39</v>
      </c>
      <c r="D7" s="13"/>
      <c r="E7" s="2"/>
      <c r="F7" s="2"/>
      <c r="G7" s="2"/>
      <c r="H7" s="2"/>
      <c r="I7" s="3"/>
      <c r="J7" s="3"/>
      <c r="K7" s="13" t="s">
        <v>40</v>
      </c>
      <c r="L7" s="2" t="s">
        <v>40</v>
      </c>
      <c r="M7" s="2"/>
      <c r="N7" s="2"/>
      <c r="O7" s="2"/>
      <c r="P7" s="3"/>
      <c r="Q7" s="3"/>
      <c r="R7" s="13"/>
      <c r="S7" s="2"/>
      <c r="T7" s="2"/>
      <c r="U7" s="2" t="s">
        <v>39</v>
      </c>
      <c r="V7" s="2"/>
      <c r="W7" s="3"/>
      <c r="X7" s="3"/>
      <c r="Y7" s="13"/>
      <c r="Z7" s="2" t="s">
        <v>39</v>
      </c>
      <c r="AA7" s="2"/>
      <c r="AB7" s="2"/>
      <c r="AC7" s="2"/>
      <c r="AD7" s="3"/>
      <c r="AE7" s="3"/>
      <c r="AF7" s="13"/>
      <c r="AG7" s="2"/>
      <c r="AH7" s="2">
        <f t="shared" ref="AH7:AH15" si="0">COUNTIF(C7:AG7, "CO")</f>
        <v>2</v>
      </c>
      <c r="AI7" s="2">
        <f t="shared" ref="AI7:AI15" si="1">COUNTIF(C7:AG7, "E")</f>
        <v>3</v>
      </c>
      <c r="AJ7" s="2">
        <v>1</v>
      </c>
    </row>
    <row r="8" spans="1:38" ht="20.100000000000001" customHeight="1" x14ac:dyDescent="0.25">
      <c r="A8" s="20">
        <v>19</v>
      </c>
      <c r="B8" s="5" t="s">
        <v>31</v>
      </c>
      <c r="C8" s="3"/>
      <c r="D8" s="13"/>
      <c r="E8" s="2"/>
      <c r="F8" s="2"/>
      <c r="G8" s="2"/>
      <c r="H8" s="2"/>
      <c r="I8" s="3"/>
      <c r="J8" s="3"/>
      <c r="K8" s="13"/>
      <c r="L8" s="2" t="s">
        <v>39</v>
      </c>
      <c r="M8" s="2" t="s">
        <v>39</v>
      </c>
      <c r="N8" s="2"/>
      <c r="O8" s="2"/>
      <c r="P8" s="3"/>
      <c r="Q8" s="3"/>
      <c r="R8" s="13"/>
      <c r="S8" s="2"/>
      <c r="T8" s="2"/>
      <c r="U8" s="2"/>
      <c r="V8" s="2"/>
      <c r="W8" s="3"/>
      <c r="X8" s="3"/>
      <c r="Y8" s="13" t="s">
        <v>39</v>
      </c>
      <c r="Z8" s="2"/>
      <c r="AA8" s="2"/>
      <c r="AB8" s="2"/>
      <c r="AC8" s="2"/>
      <c r="AD8" s="3"/>
      <c r="AE8" s="3"/>
      <c r="AF8" s="13"/>
      <c r="AG8" s="2"/>
      <c r="AH8" s="2">
        <f t="shared" si="0"/>
        <v>0</v>
      </c>
      <c r="AI8" s="2">
        <f t="shared" si="1"/>
        <v>3</v>
      </c>
      <c r="AJ8" s="2">
        <v>1</v>
      </c>
    </row>
    <row r="9" spans="1:38" ht="20.100000000000001" customHeight="1" x14ac:dyDescent="0.25">
      <c r="A9" s="20">
        <v>51</v>
      </c>
      <c r="B9" s="5" t="s">
        <v>25</v>
      </c>
      <c r="C9" s="3"/>
      <c r="D9" s="13"/>
      <c r="E9" s="2"/>
      <c r="F9" s="2"/>
      <c r="G9" s="2"/>
      <c r="H9" s="2"/>
      <c r="I9" s="3"/>
      <c r="J9" s="3" t="s">
        <v>40</v>
      </c>
      <c r="K9" s="13" t="s">
        <v>40</v>
      </c>
      <c r="L9" s="2"/>
      <c r="M9" s="2"/>
      <c r="N9" s="2"/>
      <c r="O9" s="2"/>
      <c r="P9" s="3"/>
      <c r="Q9" s="3"/>
      <c r="R9" s="13"/>
      <c r="S9" s="2"/>
      <c r="T9" s="2"/>
      <c r="U9" s="2" t="s">
        <v>40</v>
      </c>
      <c r="V9" s="2" t="s">
        <v>40</v>
      </c>
      <c r="W9" s="3"/>
      <c r="X9" s="3"/>
      <c r="Y9" s="13" t="s">
        <v>40</v>
      </c>
      <c r="Z9" s="2"/>
      <c r="AA9" s="2"/>
      <c r="AB9" s="2"/>
      <c r="AC9" s="2"/>
      <c r="AD9" s="3"/>
      <c r="AE9" s="3"/>
      <c r="AF9" s="13"/>
      <c r="AG9" s="2"/>
      <c r="AH9" s="2">
        <f t="shared" si="0"/>
        <v>5</v>
      </c>
      <c r="AI9" s="2">
        <f t="shared" si="1"/>
        <v>0</v>
      </c>
      <c r="AJ9" s="2">
        <v>1</v>
      </c>
    </row>
    <row r="10" spans="1:38" ht="20.100000000000001" customHeight="1" x14ac:dyDescent="0.25">
      <c r="A10" s="20">
        <v>48</v>
      </c>
      <c r="B10" s="5" t="s">
        <v>26</v>
      </c>
      <c r="C10" s="3"/>
      <c r="D10" s="13"/>
      <c r="E10" s="2"/>
      <c r="F10" s="2"/>
      <c r="G10" s="2"/>
      <c r="H10" s="2"/>
      <c r="I10" s="3"/>
      <c r="J10" s="3"/>
      <c r="K10" s="13"/>
      <c r="L10" s="2"/>
      <c r="M10" s="2"/>
      <c r="N10" s="2"/>
      <c r="O10" s="2"/>
      <c r="P10" s="3"/>
      <c r="Q10" s="3"/>
      <c r="R10" s="13"/>
      <c r="S10" s="2"/>
      <c r="T10" s="2"/>
      <c r="U10" s="2"/>
      <c r="V10" s="2"/>
      <c r="W10" s="3" t="s">
        <v>40</v>
      </c>
      <c r="X10" s="3"/>
      <c r="Y10" s="13" t="s">
        <v>40</v>
      </c>
      <c r="Z10" s="2"/>
      <c r="AA10" s="2"/>
      <c r="AB10" s="2"/>
      <c r="AC10" s="2"/>
      <c r="AD10" s="3"/>
      <c r="AE10" s="3"/>
      <c r="AF10" s="13"/>
      <c r="AG10" s="2"/>
      <c r="AH10" s="2">
        <f t="shared" si="0"/>
        <v>2</v>
      </c>
      <c r="AI10" s="2">
        <f t="shared" si="1"/>
        <v>0</v>
      </c>
      <c r="AJ10" s="2">
        <v>1</v>
      </c>
    </row>
    <row r="11" spans="1:38" ht="20.100000000000001" customHeight="1" x14ac:dyDescent="0.25">
      <c r="A11" s="20">
        <f>46+1</f>
        <v>47</v>
      </c>
      <c r="B11" s="5" t="s">
        <v>27</v>
      </c>
      <c r="C11" s="3"/>
      <c r="D11" s="13"/>
      <c r="E11" s="2"/>
      <c r="F11" s="2"/>
      <c r="G11" s="2"/>
      <c r="H11" s="2"/>
      <c r="I11" s="3"/>
      <c r="J11" s="3"/>
      <c r="K11" s="13"/>
      <c r="L11" s="2"/>
      <c r="M11" s="2"/>
      <c r="N11" s="2"/>
      <c r="O11" s="2"/>
      <c r="P11" s="3"/>
      <c r="Q11" s="3"/>
      <c r="R11" s="13"/>
      <c r="S11" s="2" t="s">
        <v>40</v>
      </c>
      <c r="T11" s="2" t="s">
        <v>40</v>
      </c>
      <c r="U11" s="2" t="s">
        <v>40</v>
      </c>
      <c r="V11" s="2"/>
      <c r="W11" s="3"/>
      <c r="X11" s="3"/>
      <c r="Y11" s="13"/>
      <c r="Z11" s="2"/>
      <c r="AA11" s="2"/>
      <c r="AB11" s="2"/>
      <c r="AC11" s="2"/>
      <c r="AD11" s="3"/>
      <c r="AE11" s="3"/>
      <c r="AF11" s="13"/>
      <c r="AG11" s="2"/>
      <c r="AH11" s="2">
        <f t="shared" si="0"/>
        <v>3</v>
      </c>
      <c r="AI11" s="2">
        <f t="shared" si="1"/>
        <v>0</v>
      </c>
      <c r="AJ11" s="2">
        <v>1</v>
      </c>
    </row>
    <row r="12" spans="1:38" ht="20.100000000000001" customHeight="1" x14ac:dyDescent="0.25">
      <c r="A12" s="20">
        <v>58</v>
      </c>
      <c r="B12" s="5" t="s">
        <v>28</v>
      </c>
      <c r="C12" s="3"/>
      <c r="D12" s="13"/>
      <c r="E12" s="2"/>
      <c r="F12" s="2"/>
      <c r="G12" s="2"/>
      <c r="H12" s="2"/>
      <c r="I12" s="3"/>
      <c r="J12" s="3" t="s">
        <v>40</v>
      </c>
      <c r="K12" s="13"/>
      <c r="L12" s="2"/>
      <c r="M12" s="2"/>
      <c r="N12" s="2"/>
      <c r="O12" s="2"/>
      <c r="P12" s="3"/>
      <c r="Q12" s="3"/>
      <c r="R12" s="13"/>
      <c r="S12" s="2"/>
      <c r="T12" s="2"/>
      <c r="U12" s="2"/>
      <c r="V12" s="2"/>
      <c r="W12" s="3"/>
      <c r="X12" s="3"/>
      <c r="Y12" s="13"/>
      <c r="Z12" s="2"/>
      <c r="AA12" s="2"/>
      <c r="AB12" s="2"/>
      <c r="AC12" s="2"/>
      <c r="AD12" s="3"/>
      <c r="AE12" s="3"/>
      <c r="AF12" s="13"/>
      <c r="AG12" s="2"/>
      <c r="AH12" s="2">
        <f t="shared" si="0"/>
        <v>1</v>
      </c>
      <c r="AI12" s="2">
        <f t="shared" si="1"/>
        <v>0</v>
      </c>
      <c r="AJ12" s="2">
        <v>1</v>
      </c>
    </row>
    <row r="13" spans="1:38" ht="20.100000000000001" customHeight="1" x14ac:dyDescent="0.25">
      <c r="A13" s="20">
        <v>50</v>
      </c>
      <c r="B13" s="5" t="s">
        <v>44</v>
      </c>
      <c r="C13" s="3"/>
      <c r="D13" s="13"/>
      <c r="E13" s="2"/>
      <c r="F13" s="2"/>
      <c r="G13" s="2"/>
      <c r="H13" s="2"/>
      <c r="I13" s="3"/>
      <c r="J13" s="3"/>
      <c r="K13" s="13"/>
      <c r="L13" s="2" t="s">
        <v>39</v>
      </c>
      <c r="M13" s="2"/>
      <c r="N13" s="2"/>
      <c r="O13" s="2"/>
      <c r="P13" s="3"/>
      <c r="Q13" s="3"/>
      <c r="R13" s="13"/>
      <c r="S13" s="2"/>
      <c r="T13" s="2"/>
      <c r="U13" s="2"/>
      <c r="V13" s="2"/>
      <c r="W13" s="3"/>
      <c r="X13" s="3"/>
      <c r="Y13" s="13"/>
      <c r="Z13" s="2"/>
      <c r="AA13" s="2"/>
      <c r="AB13" s="2"/>
      <c r="AC13" s="2"/>
      <c r="AD13" s="3"/>
      <c r="AE13" s="3"/>
      <c r="AF13" s="13"/>
      <c r="AG13" s="2"/>
      <c r="AH13" s="2">
        <f t="shared" si="0"/>
        <v>0</v>
      </c>
      <c r="AI13" s="2">
        <f t="shared" si="1"/>
        <v>1</v>
      </c>
      <c r="AJ13" s="2">
        <v>1</v>
      </c>
    </row>
    <row r="14" spans="1:38" ht="20.100000000000001" customHeight="1" x14ac:dyDescent="0.25">
      <c r="A14" s="20">
        <v>19</v>
      </c>
      <c r="B14" s="5" t="s">
        <v>29</v>
      </c>
      <c r="C14" s="3"/>
      <c r="D14" s="13"/>
      <c r="E14" s="2"/>
      <c r="F14" s="2"/>
      <c r="G14" s="2"/>
      <c r="H14" s="2"/>
      <c r="I14" s="3"/>
      <c r="J14" s="3"/>
      <c r="K14" s="13"/>
      <c r="L14" s="2"/>
      <c r="M14" s="2"/>
      <c r="N14" s="2"/>
      <c r="O14" s="2"/>
      <c r="P14" s="3"/>
      <c r="Q14" s="3"/>
      <c r="R14" s="13"/>
      <c r="S14" s="2" t="s">
        <v>39</v>
      </c>
      <c r="T14" s="2"/>
      <c r="U14" s="2"/>
      <c r="V14" s="2"/>
      <c r="W14" s="3"/>
      <c r="X14" s="3"/>
      <c r="Y14" s="13"/>
      <c r="Z14" s="2"/>
      <c r="AA14" s="2"/>
      <c r="AB14" s="2"/>
      <c r="AC14" s="2"/>
      <c r="AD14" s="3"/>
      <c r="AE14" s="3" t="s">
        <v>40</v>
      </c>
      <c r="AF14" s="13" t="s">
        <v>40</v>
      </c>
      <c r="AG14" s="2" t="s">
        <v>40</v>
      </c>
      <c r="AH14" s="2">
        <f t="shared" si="0"/>
        <v>3</v>
      </c>
      <c r="AI14" s="2">
        <f t="shared" si="1"/>
        <v>1</v>
      </c>
      <c r="AJ14" s="2">
        <v>1</v>
      </c>
    </row>
    <row r="15" spans="1:38" ht="20.100000000000001" customHeight="1" x14ac:dyDescent="0.25">
      <c r="A15" s="20">
        <v>36</v>
      </c>
      <c r="B15" s="5" t="s">
        <v>30</v>
      </c>
      <c r="C15" s="3"/>
      <c r="D15" s="13"/>
      <c r="E15" s="2"/>
      <c r="F15" s="2"/>
      <c r="G15" s="2"/>
      <c r="H15" s="2"/>
      <c r="I15" s="3"/>
      <c r="J15" s="3"/>
      <c r="K15" s="13"/>
      <c r="L15" s="2"/>
      <c r="M15" s="2"/>
      <c r="N15" s="2"/>
      <c r="O15" s="2"/>
      <c r="P15" s="3"/>
      <c r="Q15" s="3"/>
      <c r="R15" s="13"/>
      <c r="S15" s="2"/>
      <c r="T15" s="2"/>
      <c r="U15" s="2"/>
      <c r="V15" s="2"/>
      <c r="W15" s="3"/>
      <c r="X15" s="3"/>
      <c r="Y15" s="13"/>
      <c r="Z15" s="2"/>
      <c r="AA15" s="2"/>
      <c r="AB15" s="2"/>
      <c r="AC15" s="2"/>
      <c r="AD15" s="3"/>
      <c r="AE15" s="3"/>
      <c r="AF15" s="13"/>
      <c r="AG15" s="2"/>
      <c r="AH15" s="2">
        <f t="shared" si="0"/>
        <v>0</v>
      </c>
      <c r="AI15" s="2">
        <f t="shared" si="1"/>
        <v>0</v>
      </c>
      <c r="AJ15" s="2">
        <v>1</v>
      </c>
    </row>
    <row r="16" spans="1:38" ht="20.100000000000001" customHeight="1" x14ac:dyDescent="0.25">
      <c r="B16" s="15" t="s">
        <v>46</v>
      </c>
      <c r="C16" s="16"/>
      <c r="D16" s="17"/>
      <c r="E16" s="14"/>
      <c r="F16" s="14"/>
      <c r="G16" s="14"/>
      <c r="H16" s="14"/>
      <c r="I16" s="16"/>
      <c r="J16" s="16"/>
      <c r="K16" s="17"/>
      <c r="L16" s="14"/>
      <c r="M16" s="14"/>
      <c r="N16" s="14"/>
      <c r="O16" s="14"/>
      <c r="P16" s="16"/>
      <c r="Q16" s="16"/>
      <c r="R16" s="17"/>
      <c r="S16" s="14"/>
      <c r="T16" s="14"/>
      <c r="U16" s="14"/>
      <c r="V16" s="14"/>
      <c r="W16" s="16"/>
      <c r="X16" s="16"/>
      <c r="Y16" s="17"/>
      <c r="Z16" s="14"/>
      <c r="AA16" s="14"/>
      <c r="AB16" s="14"/>
      <c r="AC16" s="14"/>
      <c r="AD16" s="16"/>
      <c r="AE16" s="16"/>
      <c r="AF16" s="17"/>
      <c r="AG16" s="14"/>
      <c r="AH16" s="14"/>
      <c r="AI16" s="14"/>
      <c r="AJ16" s="14"/>
    </row>
    <row r="17" spans="2:34" x14ac:dyDescent="0.25">
      <c r="B17" s="15" t="s">
        <v>45</v>
      </c>
    </row>
    <row r="18" spans="2:34" x14ac:dyDescent="0.25">
      <c r="B18" s="32" t="s">
        <v>48</v>
      </c>
      <c r="C18" s="58" t="s">
        <v>41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2:34" x14ac:dyDescent="0.25">
      <c r="B19" s="32" t="s">
        <v>52</v>
      </c>
    </row>
    <row r="20" spans="2:34" x14ac:dyDescent="0.25">
      <c r="B20" s="32" t="s">
        <v>61</v>
      </c>
    </row>
    <row r="21" spans="2:34" x14ac:dyDescent="0.25">
      <c r="B21" s="32" t="s">
        <v>65</v>
      </c>
    </row>
    <row r="22" spans="2:34" x14ac:dyDescent="0.25">
      <c r="B22" s="32" t="s">
        <v>71</v>
      </c>
    </row>
    <row r="23" spans="2:34" x14ac:dyDescent="0.25">
      <c r="B23" s="32" t="s">
        <v>82</v>
      </c>
    </row>
    <row r="30" spans="2:34" x14ac:dyDescent="0.25">
      <c r="B30" s="9"/>
    </row>
  </sheetData>
  <mergeCells count="7">
    <mergeCell ref="A4:A5"/>
    <mergeCell ref="B4:B5"/>
    <mergeCell ref="AJ4:AJ5"/>
    <mergeCell ref="AE1:AH1"/>
    <mergeCell ref="C18:AH18"/>
    <mergeCell ref="AH4:AH5"/>
    <mergeCell ref="AI4:AI5"/>
  </mergeCells>
  <conditionalFormatting sqref="C6:AG15">
    <cfRule type="containsText" dxfId="305" priority="1" operator="containsText" text="e">
      <formula>NOT(ISERROR(SEARCH("e",C6)))</formula>
    </cfRule>
    <cfRule type="containsText" dxfId="304" priority="2" operator="containsText" text="co">
      <formula>NOT(ISERROR(SEARCH("co",C6)))</formula>
    </cfRule>
    <cfRule type="containsText" priority="3" operator="containsText" text="co">
      <formula>NOT(ISERROR(SEARCH("co",C6)))</formula>
    </cfRule>
  </conditionalFormatting>
  <dataValidations count="1">
    <dataValidation type="list" allowBlank="1" showInputMessage="1" showErrorMessage="1" sqref="B6:B17">
      <formula1>employees</formula1>
    </dataValidation>
  </dataValidations>
  <pageMargins left="0.25" right="0.25" top="0.75" bottom="0.75" header="0.3" footer="0.3"/>
  <pageSetup paperSize="9" scale="8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Views>
    <sheetView zoomScale="90" zoomScaleNormal="90" workbookViewId="0">
      <selection activeCell="AF9" sqref="AF9"/>
    </sheetView>
  </sheetViews>
  <sheetFormatPr defaultColWidth="11" defaultRowHeight="15.75" x14ac:dyDescent="0.25"/>
  <cols>
    <col min="1" max="1" width="6.375" customWidth="1"/>
    <col min="2" max="2" width="15" customWidth="1"/>
    <col min="3" max="30" width="4" customWidth="1"/>
  </cols>
  <sheetData>
    <row r="1" spans="1:34" x14ac:dyDescent="0.25">
      <c r="B1" s="6" t="s">
        <v>10</v>
      </c>
      <c r="AD1" s="63" t="s">
        <v>12</v>
      </c>
      <c r="AE1" s="63"/>
      <c r="AF1" s="10"/>
      <c r="AG1" s="10"/>
      <c r="AH1" s="10"/>
    </row>
    <row r="2" spans="1:34" ht="12" customHeight="1" x14ac:dyDescent="0.25"/>
    <row r="3" spans="1:34" ht="12" customHeight="1" x14ac:dyDescent="0.25"/>
    <row r="4" spans="1:34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55" t="s">
        <v>34</v>
      </c>
      <c r="AF4" s="55" t="s">
        <v>32</v>
      </c>
      <c r="AG4" s="55" t="s">
        <v>33</v>
      </c>
    </row>
    <row r="5" spans="1:34" ht="12" customHeight="1" x14ac:dyDescent="0.25">
      <c r="A5" s="61"/>
      <c r="B5" s="62"/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0</v>
      </c>
      <c r="J5" s="1" t="s">
        <v>1</v>
      </c>
      <c r="K5" s="1" t="s">
        <v>2</v>
      </c>
      <c r="L5" s="1" t="s">
        <v>3</v>
      </c>
      <c r="M5" s="1" t="s">
        <v>4</v>
      </c>
      <c r="N5" s="1" t="s">
        <v>5</v>
      </c>
      <c r="O5" s="1" t="s">
        <v>6</v>
      </c>
      <c r="P5" s="1" t="s">
        <v>0</v>
      </c>
      <c r="Q5" s="1" t="s">
        <v>1</v>
      </c>
      <c r="R5" s="1" t="s">
        <v>2</v>
      </c>
      <c r="S5" s="1" t="s">
        <v>3</v>
      </c>
      <c r="T5" s="1" t="s">
        <v>4</v>
      </c>
      <c r="U5" s="1" t="s">
        <v>5</v>
      </c>
      <c r="V5" s="1" t="s">
        <v>6</v>
      </c>
      <c r="W5" s="1" t="s">
        <v>0</v>
      </c>
      <c r="X5" s="1" t="s">
        <v>1</v>
      </c>
      <c r="Y5" s="1" t="s">
        <v>2</v>
      </c>
      <c r="Z5" s="1" t="s">
        <v>3</v>
      </c>
      <c r="AA5" s="1" t="s">
        <v>4</v>
      </c>
      <c r="AB5" s="1" t="s">
        <v>5</v>
      </c>
      <c r="AC5" s="12" t="s">
        <v>6</v>
      </c>
      <c r="AD5" s="1" t="s">
        <v>0</v>
      </c>
      <c r="AE5" s="56"/>
      <c r="AF5" s="56"/>
      <c r="AG5" s="56"/>
    </row>
    <row r="6" spans="1:34" ht="20.100000000000001" customHeight="1" x14ac:dyDescent="0.25">
      <c r="A6" s="20">
        <f>Jan!A6+Jan!AI6+Jan!AJ6-Jan!AH6</f>
        <v>-5</v>
      </c>
      <c r="B6" s="1" t="str">
        <f>Jan!B6</f>
        <v>KC Tirkey</v>
      </c>
      <c r="C6" s="2"/>
      <c r="D6" s="2"/>
      <c r="E6" s="2"/>
      <c r="F6" s="3"/>
      <c r="G6" s="3"/>
      <c r="H6" s="2"/>
      <c r="I6" s="2"/>
      <c r="J6" s="2"/>
      <c r="K6" s="2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/>
      <c r="AD6" s="2"/>
      <c r="AE6" s="2">
        <f>COUNTIF(C6:AD6, "CO")</f>
        <v>0</v>
      </c>
      <c r="AF6" s="2">
        <f>COUNTIF(C6:AD6, "E")</f>
        <v>0</v>
      </c>
      <c r="AG6" s="2">
        <v>1</v>
      </c>
    </row>
    <row r="7" spans="1:34" ht="20.100000000000001" customHeight="1" x14ac:dyDescent="0.25">
      <c r="A7" s="20">
        <f>Jan!A7+Jan!AI7+Jan!AJ7-Jan!AH7</f>
        <v>36</v>
      </c>
      <c r="B7" s="1" t="str">
        <f>Jan!B7</f>
        <v>GN Madhei</v>
      </c>
      <c r="C7" s="2"/>
      <c r="D7" s="2"/>
      <c r="E7" s="2" t="s">
        <v>40</v>
      </c>
      <c r="F7" s="3" t="s">
        <v>40</v>
      </c>
      <c r="G7" s="3"/>
      <c r="H7" s="2"/>
      <c r="I7" s="2"/>
      <c r="J7" s="2"/>
      <c r="K7" s="2" t="s">
        <v>40</v>
      </c>
      <c r="L7" s="2" t="s">
        <v>40</v>
      </c>
      <c r="M7" s="3"/>
      <c r="N7" s="3"/>
      <c r="O7" s="2"/>
      <c r="P7" s="2"/>
      <c r="Q7" s="2" t="s">
        <v>40</v>
      </c>
      <c r="R7" s="2" t="s">
        <v>40</v>
      </c>
      <c r="S7" s="2" t="s">
        <v>40</v>
      </c>
      <c r="T7" s="3" t="s">
        <v>40</v>
      </c>
      <c r="U7" s="3"/>
      <c r="V7" s="2"/>
      <c r="W7" s="2"/>
      <c r="X7" s="2"/>
      <c r="Y7" s="2"/>
      <c r="Z7" s="2"/>
      <c r="AA7" s="3"/>
      <c r="AB7" s="3"/>
      <c r="AC7" s="2"/>
      <c r="AD7" s="2"/>
      <c r="AE7" s="2">
        <f t="shared" ref="AE7:AE15" si="0">COUNTIF(C7:AD7, "CO")</f>
        <v>8</v>
      </c>
      <c r="AF7" s="2">
        <f t="shared" ref="AF7:AF15" si="1">COUNTIF(C7:AD7, "E")</f>
        <v>0</v>
      </c>
      <c r="AG7" s="2">
        <v>1</v>
      </c>
    </row>
    <row r="8" spans="1:34" ht="20.100000000000001" customHeight="1" x14ac:dyDescent="0.25">
      <c r="A8" s="20">
        <f>Jan!A8+Jan!AI8+Jan!AJ8-Jan!AH8</f>
        <v>23</v>
      </c>
      <c r="B8" s="1" t="str">
        <f>Jan!B8</f>
        <v>S Behera</v>
      </c>
      <c r="C8" s="2"/>
      <c r="D8" s="2"/>
      <c r="E8" s="2"/>
      <c r="F8" s="3" t="s">
        <v>39</v>
      </c>
      <c r="G8" s="3"/>
      <c r="H8" s="2" t="s">
        <v>39</v>
      </c>
      <c r="I8" s="2" t="s">
        <v>39</v>
      </c>
      <c r="J8" s="2"/>
      <c r="K8" s="2"/>
      <c r="L8" s="2"/>
      <c r="M8" s="3"/>
      <c r="N8" s="3"/>
      <c r="O8" s="2"/>
      <c r="P8" s="2"/>
      <c r="Q8" s="2"/>
      <c r="R8" s="2"/>
      <c r="S8" s="2"/>
      <c r="T8" s="3"/>
      <c r="U8" s="3"/>
      <c r="V8" s="2"/>
      <c r="W8" s="2"/>
      <c r="X8" s="2"/>
      <c r="Y8" s="2"/>
      <c r="Z8" s="2"/>
      <c r="AA8" s="3"/>
      <c r="AB8" s="3"/>
      <c r="AC8" s="2"/>
      <c r="AD8" s="2"/>
      <c r="AE8" s="2">
        <f t="shared" si="0"/>
        <v>0</v>
      </c>
      <c r="AF8" s="2">
        <f t="shared" si="1"/>
        <v>3</v>
      </c>
      <c r="AG8" s="2">
        <v>1</v>
      </c>
    </row>
    <row r="9" spans="1:34" ht="20.100000000000001" customHeight="1" x14ac:dyDescent="0.25">
      <c r="A9" s="20">
        <f>Jan!A9+Jan!AI9+Jan!AJ9-Jan!AH9</f>
        <v>47</v>
      </c>
      <c r="B9" s="1" t="str">
        <f>Jan!B9</f>
        <v>S Lakra</v>
      </c>
      <c r="C9" s="2"/>
      <c r="D9" s="2"/>
      <c r="E9" s="2" t="s">
        <v>39</v>
      </c>
      <c r="F9" s="3"/>
      <c r="G9" s="3"/>
      <c r="H9" s="2"/>
      <c r="I9" s="2"/>
      <c r="J9" s="2"/>
      <c r="K9" s="2"/>
      <c r="L9" s="2"/>
      <c r="M9" s="3"/>
      <c r="N9" s="3" t="s">
        <v>39</v>
      </c>
      <c r="O9" s="2"/>
      <c r="P9" s="2"/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>
        <f t="shared" si="0"/>
        <v>0</v>
      </c>
      <c r="AF9" s="2">
        <f t="shared" si="1"/>
        <v>2</v>
      </c>
      <c r="AG9" s="2">
        <v>1</v>
      </c>
    </row>
    <row r="10" spans="1:34" ht="20.100000000000001" customHeight="1" x14ac:dyDescent="0.25">
      <c r="A10" s="20">
        <f>Jan!A10+Jan!AI10+Jan!AJ10-Jan!AH10</f>
        <v>47</v>
      </c>
      <c r="B10" s="1" t="str">
        <f>Jan!B10</f>
        <v>SK Maharana</v>
      </c>
      <c r="C10" s="2"/>
      <c r="D10" s="2"/>
      <c r="E10" s="2"/>
      <c r="F10" s="3"/>
      <c r="G10" s="3"/>
      <c r="H10" s="2"/>
      <c r="I10" s="2"/>
      <c r="J10" s="2"/>
      <c r="K10" s="2"/>
      <c r="L10" s="2"/>
      <c r="M10" s="3"/>
      <c r="N10" s="3" t="s">
        <v>40</v>
      </c>
      <c r="O10" s="2" t="s">
        <v>40</v>
      </c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>
        <f t="shared" si="0"/>
        <v>2</v>
      </c>
      <c r="AF10" s="2">
        <f t="shared" si="1"/>
        <v>0</v>
      </c>
      <c r="AG10" s="2">
        <v>1</v>
      </c>
    </row>
    <row r="11" spans="1:34" ht="20.100000000000001" customHeight="1" x14ac:dyDescent="0.25">
      <c r="A11" s="20">
        <f>Jan!A11+Jan!AI11+Jan!AJ11-Jan!AH11</f>
        <v>45</v>
      </c>
      <c r="B11" s="1" t="str">
        <f>Jan!B11</f>
        <v>PK Sahoo Sr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 t="s">
        <v>39</v>
      </c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>
        <f t="shared" si="0"/>
        <v>0</v>
      </c>
      <c r="AF11" s="2">
        <f t="shared" si="1"/>
        <v>1</v>
      </c>
      <c r="AG11" s="2">
        <v>1</v>
      </c>
    </row>
    <row r="12" spans="1:34" ht="20.100000000000001" customHeight="1" x14ac:dyDescent="0.25">
      <c r="A12" s="20">
        <f>Jan!A12+Jan!AI12+Jan!AJ12-Jan!AH12</f>
        <v>58</v>
      </c>
      <c r="B12" s="1" t="str">
        <f>Jan!B12</f>
        <v>RK Singh</v>
      </c>
      <c r="C12" s="2" t="s">
        <v>39</v>
      </c>
      <c r="D12" s="2"/>
      <c r="E12" s="2"/>
      <c r="F12" s="3"/>
      <c r="G12" s="3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>
        <f t="shared" si="0"/>
        <v>0</v>
      </c>
      <c r="AF12" s="2">
        <f t="shared" si="1"/>
        <v>1</v>
      </c>
      <c r="AG12" s="2">
        <v>1</v>
      </c>
    </row>
    <row r="13" spans="1:34" ht="20.100000000000001" customHeight="1" x14ac:dyDescent="0.25">
      <c r="A13" s="20">
        <f>Jan!A13+Jan!AI13+Jan!AJ13-Jan!AH13</f>
        <v>52</v>
      </c>
      <c r="B13" s="1" t="str">
        <f>Jan!B13</f>
        <v>PN Rout</v>
      </c>
      <c r="C13" s="2"/>
      <c r="D13" s="2"/>
      <c r="E13" s="2"/>
      <c r="F13" s="3"/>
      <c r="G13" s="3" t="s">
        <v>39</v>
      </c>
      <c r="H13" s="2"/>
      <c r="I13" s="2"/>
      <c r="J13" s="2"/>
      <c r="K13" s="2"/>
      <c r="L13" s="2"/>
      <c r="M13" s="3"/>
      <c r="N13" s="3"/>
      <c r="O13" s="2" t="s">
        <v>39</v>
      </c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>
        <f t="shared" si="0"/>
        <v>0</v>
      </c>
      <c r="AF13" s="2">
        <f t="shared" si="1"/>
        <v>2</v>
      </c>
      <c r="AG13" s="2">
        <v>1</v>
      </c>
    </row>
    <row r="14" spans="1:34" ht="20.100000000000001" customHeight="1" x14ac:dyDescent="0.25">
      <c r="A14" s="20">
        <f>Jan!A14+Jan!AI14+Jan!AJ14-Jan!AH14</f>
        <v>18</v>
      </c>
      <c r="B14" s="1" t="str">
        <f>Jan!B14</f>
        <v>PK Sahoo Jr</v>
      </c>
      <c r="C14" s="2" t="s">
        <v>40</v>
      </c>
      <c r="D14" s="2"/>
      <c r="E14" s="2"/>
      <c r="F14" s="3"/>
      <c r="G14" s="3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 t="s">
        <v>40</v>
      </c>
      <c r="X14" s="2" t="s">
        <v>40</v>
      </c>
      <c r="Y14" s="2" t="s">
        <v>40</v>
      </c>
      <c r="Z14" s="2"/>
      <c r="AA14" s="3" t="s">
        <v>40</v>
      </c>
      <c r="AB14" s="3" t="s">
        <v>40</v>
      </c>
      <c r="AC14" s="2" t="s">
        <v>40</v>
      </c>
      <c r="AD14" s="2"/>
      <c r="AE14" s="2">
        <f t="shared" si="0"/>
        <v>7</v>
      </c>
      <c r="AF14" s="2">
        <f t="shared" si="1"/>
        <v>0</v>
      </c>
      <c r="AG14" s="2">
        <v>1</v>
      </c>
    </row>
    <row r="15" spans="1:34" ht="20.100000000000001" customHeight="1" x14ac:dyDescent="0.25">
      <c r="A15" s="20">
        <f>Jan!A15+Jan!AI15+Jan!AJ15-Jan!AH15</f>
        <v>37</v>
      </c>
      <c r="B15" s="1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>
        <f t="shared" si="0"/>
        <v>0</v>
      </c>
      <c r="AF15" s="2">
        <f t="shared" si="1"/>
        <v>0</v>
      </c>
      <c r="AG15" s="2">
        <v>1</v>
      </c>
    </row>
    <row r="16" spans="1:34" ht="20.100000000000001" customHeight="1" x14ac:dyDescent="0.25">
      <c r="B16" s="18"/>
      <c r="C16" s="14"/>
      <c r="D16" s="14"/>
      <c r="E16" s="14"/>
      <c r="F16" s="16"/>
      <c r="G16" s="16"/>
      <c r="H16" s="14"/>
      <c r="I16" s="14"/>
      <c r="J16" s="14"/>
      <c r="K16" s="14"/>
      <c r="L16" s="14"/>
      <c r="M16" s="16"/>
      <c r="N16" s="16"/>
      <c r="O16" s="14"/>
      <c r="P16" s="14"/>
      <c r="Q16" s="14"/>
      <c r="R16" s="14"/>
      <c r="S16" s="14"/>
      <c r="T16" s="16"/>
      <c r="U16" s="16"/>
      <c r="V16" s="14"/>
      <c r="W16" s="14"/>
      <c r="X16" s="14"/>
      <c r="Y16" s="14"/>
      <c r="Z16" s="14"/>
      <c r="AA16" s="16"/>
      <c r="AB16" s="16"/>
      <c r="AC16" s="14"/>
      <c r="AD16" s="14"/>
      <c r="AE16" s="14"/>
      <c r="AF16" s="14"/>
      <c r="AG16" s="14"/>
    </row>
    <row r="18" spans="2:34" x14ac:dyDescent="0.25">
      <c r="C18" s="58" t="s">
        <v>41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30" spans="2:34" x14ac:dyDescent="0.25">
      <c r="B30" s="9"/>
    </row>
  </sheetData>
  <mergeCells count="7">
    <mergeCell ref="A4:A5"/>
    <mergeCell ref="B4:B5"/>
    <mergeCell ref="AD1:AE1"/>
    <mergeCell ref="AE4:AE5"/>
    <mergeCell ref="C18:AH18"/>
    <mergeCell ref="AF4:AF5"/>
    <mergeCell ref="AG4:AG5"/>
  </mergeCells>
  <conditionalFormatting sqref="C6:AD15">
    <cfRule type="containsText" dxfId="303" priority="1" operator="containsText" text="e">
      <formula>NOT(ISERROR(SEARCH("e",C6)))</formula>
    </cfRule>
    <cfRule type="containsText" dxfId="302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9" sqref="A9:XFD9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AE1" s="57" t="s">
        <v>13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1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0</v>
      </c>
      <c r="J5" s="1" t="s">
        <v>1</v>
      </c>
      <c r="K5" s="1" t="s">
        <v>2</v>
      </c>
      <c r="L5" s="1" t="s">
        <v>3</v>
      </c>
      <c r="M5" s="1" t="s">
        <v>4</v>
      </c>
      <c r="N5" s="1" t="s">
        <v>5</v>
      </c>
      <c r="O5" s="1" t="s">
        <v>6</v>
      </c>
      <c r="P5" s="1" t="s">
        <v>0</v>
      </c>
      <c r="Q5" s="1" t="s">
        <v>1</v>
      </c>
      <c r="R5" s="1" t="s">
        <v>2</v>
      </c>
      <c r="S5" s="1" t="s">
        <v>3</v>
      </c>
      <c r="T5" s="1" t="s">
        <v>4</v>
      </c>
      <c r="U5" s="1" t="s">
        <v>5</v>
      </c>
      <c r="V5" s="1" t="s">
        <v>6</v>
      </c>
      <c r="W5" s="1" t="s">
        <v>0</v>
      </c>
      <c r="X5" s="1" t="s">
        <v>1</v>
      </c>
      <c r="Y5" s="1" t="s">
        <v>2</v>
      </c>
      <c r="Z5" s="1" t="s">
        <v>3</v>
      </c>
      <c r="AA5" s="1" t="s">
        <v>4</v>
      </c>
      <c r="AB5" s="1" t="s">
        <v>5</v>
      </c>
      <c r="AC5" s="1" t="s">
        <v>6</v>
      </c>
      <c r="AD5" s="1" t="s">
        <v>0</v>
      </c>
      <c r="AE5" s="1" t="s">
        <v>1</v>
      </c>
      <c r="AF5" s="1" t="s">
        <v>2</v>
      </c>
      <c r="AG5" s="1" t="s">
        <v>3</v>
      </c>
      <c r="AH5" s="56"/>
      <c r="AI5" s="56"/>
      <c r="AJ5" s="56"/>
    </row>
    <row r="6" spans="1:36" ht="20.100000000000001" customHeight="1" x14ac:dyDescent="0.25">
      <c r="A6" s="20">
        <f>Feb!A6+Feb!AF6+Feb!AG6-Feb!AE6</f>
        <v>-4</v>
      </c>
      <c r="B6" s="1" t="str">
        <f>Jan!B6</f>
        <v>KC Tirkey</v>
      </c>
      <c r="C6" s="2"/>
      <c r="D6" s="2"/>
      <c r="E6" s="2"/>
      <c r="F6" s="3"/>
      <c r="G6" s="3"/>
      <c r="H6" s="2"/>
      <c r="I6" s="2"/>
      <c r="J6" s="2"/>
      <c r="K6" s="2"/>
      <c r="L6" s="2"/>
      <c r="M6" s="3"/>
      <c r="N6" s="3" t="s">
        <v>40</v>
      </c>
      <c r="O6" s="2" t="s">
        <v>40</v>
      </c>
      <c r="P6" s="2" t="s">
        <v>40</v>
      </c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 t="s">
        <v>39</v>
      </c>
      <c r="AD6" s="2"/>
      <c r="AE6" s="2"/>
      <c r="AF6" s="2"/>
      <c r="AG6" s="2"/>
      <c r="AH6" s="2">
        <f>COUNTIF(C6:AG6, "CO")</f>
        <v>3</v>
      </c>
      <c r="AI6" s="2">
        <f t="shared" ref="AI6:AI15" si="0">COUNTIF(C6:AG6, "E")</f>
        <v>1</v>
      </c>
      <c r="AJ6" s="2">
        <v>1</v>
      </c>
    </row>
    <row r="7" spans="1:36" ht="20.100000000000001" customHeight="1" x14ac:dyDescent="0.25">
      <c r="A7" s="20">
        <f>Feb!A7+Feb!AF7+Feb!AG7-Feb!AE7</f>
        <v>29</v>
      </c>
      <c r="B7" s="1" t="str">
        <f>Jan!B7</f>
        <v>GN Madhei</v>
      </c>
      <c r="C7" s="2"/>
      <c r="D7" s="2"/>
      <c r="E7" s="2" t="s">
        <v>39</v>
      </c>
      <c r="F7" s="3"/>
      <c r="G7" s="3"/>
      <c r="H7" s="2"/>
      <c r="I7" s="2"/>
      <c r="J7" s="2"/>
      <c r="K7" s="2"/>
      <c r="L7" s="2"/>
      <c r="M7" s="3"/>
      <c r="N7" s="3"/>
      <c r="O7" s="2"/>
      <c r="P7" s="2" t="s">
        <v>39</v>
      </c>
      <c r="Q7" s="2"/>
      <c r="R7" s="2"/>
      <c r="S7" s="2"/>
      <c r="T7" s="3"/>
      <c r="U7" s="3"/>
      <c r="V7" s="2"/>
      <c r="W7" s="2"/>
      <c r="X7" s="2" t="s">
        <v>40</v>
      </c>
      <c r="Y7" s="2" t="s">
        <v>40</v>
      </c>
      <c r="Z7" s="2" t="s">
        <v>40</v>
      </c>
      <c r="AA7" s="3" t="s">
        <v>40</v>
      </c>
      <c r="AB7" s="3"/>
      <c r="AC7" s="2" t="s">
        <v>40</v>
      </c>
      <c r="AD7" s="2"/>
      <c r="AE7" s="2"/>
      <c r="AF7" s="2"/>
      <c r="AG7" s="2"/>
      <c r="AH7" s="2">
        <f>COUNTIF(C7:AG7, "CO")</f>
        <v>5</v>
      </c>
      <c r="AI7" s="2">
        <f t="shared" si="0"/>
        <v>2</v>
      </c>
      <c r="AJ7" s="2">
        <v>1</v>
      </c>
    </row>
    <row r="8" spans="1:36" ht="20.100000000000001" customHeight="1" x14ac:dyDescent="0.25">
      <c r="A8" s="20">
        <f>Feb!A8+Feb!AF8+Feb!AG8-Feb!AE8</f>
        <v>27</v>
      </c>
      <c r="B8" s="1" t="str">
        <f>Jan!B8</f>
        <v>S Behera</v>
      </c>
      <c r="C8" s="2"/>
      <c r="D8" s="2" t="s">
        <v>40</v>
      </c>
      <c r="E8" s="2" t="s">
        <v>40</v>
      </c>
      <c r="F8" s="3" t="s">
        <v>40</v>
      </c>
      <c r="G8" s="3"/>
      <c r="H8" s="2"/>
      <c r="I8" s="2"/>
      <c r="J8" s="2"/>
      <c r="K8" s="2"/>
      <c r="L8" s="2"/>
      <c r="M8" s="3"/>
      <c r="N8" s="3"/>
      <c r="O8" s="2"/>
      <c r="P8" s="2"/>
      <c r="Q8" s="2"/>
      <c r="R8" s="2" t="s">
        <v>39</v>
      </c>
      <c r="S8" s="2"/>
      <c r="T8" s="3"/>
      <c r="U8" s="3"/>
      <c r="V8" s="2"/>
      <c r="W8" s="2"/>
      <c r="X8" s="2"/>
      <c r="Y8" s="2"/>
      <c r="Z8" s="2"/>
      <c r="AA8" s="3"/>
      <c r="AB8" s="3"/>
      <c r="AC8" s="2" t="s">
        <v>40</v>
      </c>
      <c r="AD8" s="2" t="s">
        <v>40</v>
      </c>
      <c r="AE8" s="2" t="s">
        <v>40</v>
      </c>
      <c r="AF8" s="2" t="s">
        <v>40</v>
      </c>
      <c r="AG8" s="2" t="s">
        <v>40</v>
      </c>
      <c r="AH8" s="2">
        <f>COUNTIF(C8:AG8, "CO")</f>
        <v>8</v>
      </c>
      <c r="AI8" s="2">
        <f t="shared" si="0"/>
        <v>1</v>
      </c>
      <c r="AJ8" s="2">
        <v>1</v>
      </c>
    </row>
    <row r="9" spans="1:36" ht="20.100000000000001" customHeight="1" x14ac:dyDescent="0.25">
      <c r="A9" s="20">
        <f>Feb!A9+Feb!AF9+Feb!AG9-Feb!AE9</f>
        <v>50</v>
      </c>
      <c r="B9" s="1" t="str">
        <f>Jan!B9</f>
        <v>S Lakra</v>
      </c>
      <c r="C9" s="2"/>
      <c r="D9" s="2" t="s">
        <v>40</v>
      </c>
      <c r="E9" s="2" t="s">
        <v>40</v>
      </c>
      <c r="F9" s="3" t="s">
        <v>40</v>
      </c>
      <c r="G9" s="3"/>
      <c r="H9" s="2"/>
      <c r="I9" s="2"/>
      <c r="J9" s="2"/>
      <c r="K9" s="2"/>
      <c r="L9" s="2"/>
      <c r="M9" s="3"/>
      <c r="N9" s="3"/>
      <c r="O9" s="2"/>
      <c r="P9" s="2"/>
      <c r="Q9" s="2" t="s">
        <v>40</v>
      </c>
      <c r="R9" s="2" t="s">
        <v>40</v>
      </c>
      <c r="S9" s="2" t="s">
        <v>40</v>
      </c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6</v>
      </c>
      <c r="AI9" s="2">
        <f t="shared" si="0"/>
        <v>0</v>
      </c>
      <c r="AJ9" s="2">
        <v>1</v>
      </c>
    </row>
    <row r="10" spans="1:36" ht="20.100000000000001" customHeight="1" x14ac:dyDescent="0.25">
      <c r="A10" s="20">
        <f>Feb!A10+Feb!AF10+Feb!AG10-Feb!AE10</f>
        <v>46</v>
      </c>
      <c r="B10" s="1" t="str">
        <f>Jan!B10</f>
        <v>SK Maharana</v>
      </c>
      <c r="C10" s="2"/>
      <c r="D10" s="2"/>
      <c r="E10" s="2"/>
      <c r="F10" s="3"/>
      <c r="G10" s="3"/>
      <c r="H10" s="2"/>
      <c r="I10" s="2"/>
      <c r="J10" s="2"/>
      <c r="K10" s="2"/>
      <c r="L10" s="2"/>
      <c r="M10" s="3"/>
      <c r="N10" s="3"/>
      <c r="O10" s="2"/>
      <c r="P10" s="2" t="s">
        <v>40</v>
      </c>
      <c r="Q10" s="2"/>
      <c r="R10" s="2"/>
      <c r="S10" s="2" t="s">
        <v>39</v>
      </c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>COUNTIF(C10:AG10, "CO")</f>
        <v>1</v>
      </c>
      <c r="AI10" s="2">
        <f t="shared" si="0"/>
        <v>1</v>
      </c>
      <c r="AJ10" s="2">
        <v>1</v>
      </c>
    </row>
    <row r="11" spans="1:36" ht="20.100000000000001" customHeight="1" x14ac:dyDescent="0.25">
      <c r="A11" s="20">
        <f>Feb!A11+Feb!AF11+Feb!AG11-Feb!AE11</f>
        <v>47</v>
      </c>
      <c r="B11" s="1" t="str">
        <f>Jan!B11</f>
        <v>PK Sahoo Sr</v>
      </c>
      <c r="C11" s="2"/>
      <c r="D11" s="2"/>
      <c r="E11" s="2"/>
      <c r="F11" s="3"/>
      <c r="G11" s="3" t="s">
        <v>39</v>
      </c>
      <c r="H11" s="2"/>
      <c r="I11" s="2"/>
      <c r="J11" s="2"/>
      <c r="K11" s="2"/>
      <c r="L11" s="2"/>
      <c r="M11" s="3"/>
      <c r="N11" s="3"/>
      <c r="O11" s="2"/>
      <c r="P11" s="2" t="s">
        <v>39</v>
      </c>
      <c r="Q11" s="2" t="s">
        <v>40</v>
      </c>
      <c r="R11" s="2" t="s">
        <v>40</v>
      </c>
      <c r="S11" s="2" t="s">
        <v>40</v>
      </c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ref="AH11:AH15" si="1">COUNTIF(C11:AG11, "CO")</f>
        <v>3</v>
      </c>
      <c r="AI11" s="2">
        <f t="shared" si="0"/>
        <v>2</v>
      </c>
      <c r="AJ11" s="2">
        <v>1</v>
      </c>
    </row>
    <row r="12" spans="1:36" ht="20.100000000000001" customHeight="1" x14ac:dyDescent="0.25">
      <c r="A12" s="20">
        <f>Feb!A12+Feb!AF12+Feb!AG12-Feb!AE12</f>
        <v>60</v>
      </c>
      <c r="B12" s="1" t="str">
        <f>Jan!B12</f>
        <v>RK Singh</v>
      </c>
      <c r="C12" s="2"/>
      <c r="D12" s="2"/>
      <c r="E12" s="2"/>
      <c r="F12" s="3"/>
      <c r="G12" s="3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0</v>
      </c>
      <c r="AJ12" s="2">
        <v>1</v>
      </c>
    </row>
    <row r="13" spans="1:36" ht="20.100000000000001" customHeight="1" x14ac:dyDescent="0.25">
      <c r="A13" s="20">
        <f>Feb!A13+Feb!AF13+Feb!AG13-Feb!AE13</f>
        <v>55</v>
      </c>
      <c r="B13" s="1" t="str">
        <f>Jan!B13</f>
        <v>PN Rout</v>
      </c>
      <c r="C13" s="2"/>
      <c r="D13" s="2"/>
      <c r="E13" s="2" t="s">
        <v>40</v>
      </c>
      <c r="F13" s="3" t="s">
        <v>40</v>
      </c>
      <c r="G13" s="3" t="s">
        <v>40</v>
      </c>
      <c r="H13" s="2"/>
      <c r="I13" s="2"/>
      <c r="J13" s="2"/>
      <c r="K13" s="2" t="s">
        <v>40</v>
      </c>
      <c r="L13" s="2" t="s">
        <v>40</v>
      </c>
      <c r="M13" s="3" t="s">
        <v>40</v>
      </c>
      <c r="N13" s="3" t="s">
        <v>40</v>
      </c>
      <c r="O13" s="2" t="s">
        <v>40</v>
      </c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8</v>
      </c>
      <c r="AI13" s="2">
        <f t="shared" si="0"/>
        <v>0</v>
      </c>
      <c r="AJ13" s="2">
        <v>1</v>
      </c>
    </row>
    <row r="14" spans="1:36" ht="20.100000000000001" customHeight="1" x14ac:dyDescent="0.25">
      <c r="A14" s="20">
        <f>Feb!A14+Feb!AF14+Feb!AG14-Feb!AE14</f>
        <v>12</v>
      </c>
      <c r="B14" s="1" t="str">
        <f>Jan!B14</f>
        <v>PK Sahoo Jr</v>
      </c>
      <c r="C14" s="2"/>
      <c r="D14" s="2"/>
      <c r="E14" s="2"/>
      <c r="F14" s="3" t="s">
        <v>39</v>
      </c>
      <c r="G14" s="3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 t="s">
        <v>40</v>
      </c>
      <c r="W14" s="2" t="s">
        <v>40</v>
      </c>
      <c r="X14" s="2"/>
      <c r="Y14" s="2"/>
      <c r="Z14" s="2"/>
      <c r="AA14" s="3"/>
      <c r="AB14" s="3" t="s">
        <v>40</v>
      </c>
      <c r="AC14" s="2" t="s">
        <v>40</v>
      </c>
      <c r="AD14" s="2"/>
      <c r="AE14" s="2"/>
      <c r="AF14" s="2"/>
      <c r="AG14" s="2"/>
      <c r="AH14" s="2">
        <f t="shared" si="1"/>
        <v>4</v>
      </c>
      <c r="AI14" s="2">
        <f t="shared" si="0"/>
        <v>1</v>
      </c>
      <c r="AJ14" s="2">
        <v>1</v>
      </c>
    </row>
    <row r="15" spans="1:36" ht="20.100000000000001" customHeight="1" x14ac:dyDescent="0.25">
      <c r="A15" s="20">
        <f>Feb!A15+Feb!AF15+Feb!AG15-Feb!AE15</f>
        <v>38</v>
      </c>
      <c r="B15" s="1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7" spans="2:34" x14ac:dyDescent="0.25">
      <c r="C17" s="58" t="s">
        <v>41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0"/>
    </row>
    <row r="28" spans="2:34" x14ac:dyDescent="0.25">
      <c r="B28" s="9"/>
    </row>
  </sheetData>
  <mergeCells count="7">
    <mergeCell ref="AE1:AH1"/>
    <mergeCell ref="AI4:AI5"/>
    <mergeCell ref="A4:A5"/>
    <mergeCell ref="AJ4:AJ5"/>
    <mergeCell ref="C17:AH17"/>
    <mergeCell ref="B4:B5"/>
    <mergeCell ref="AH4:AH5"/>
  </mergeCells>
  <conditionalFormatting sqref="C6:AG15">
    <cfRule type="containsText" dxfId="301" priority="1" operator="containsText" text="e">
      <formula>NOT(ISERROR(SEARCH("e",C6)))</formula>
    </cfRule>
    <cfRule type="containsText" dxfId="300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29"/>
  <sheetViews>
    <sheetView zoomScaleNormal="100" workbookViewId="0">
      <selection activeCell="A9" sqref="A9:XFD9"/>
    </sheetView>
  </sheetViews>
  <sheetFormatPr defaultColWidth="11" defaultRowHeight="15.75" x14ac:dyDescent="0.25"/>
  <cols>
    <col min="1" max="1" width="5" customWidth="1"/>
    <col min="2" max="2" width="15" customWidth="1"/>
    <col min="3" max="32" width="4" customWidth="1"/>
  </cols>
  <sheetData>
    <row r="1" spans="1:35" x14ac:dyDescent="0.25">
      <c r="B1" s="6" t="s">
        <v>10</v>
      </c>
      <c r="AE1" s="57" t="s">
        <v>14</v>
      </c>
      <c r="AF1" s="57"/>
      <c r="AG1" s="57"/>
      <c r="AH1" s="10"/>
    </row>
    <row r="2" spans="1:35" ht="12" customHeight="1" x14ac:dyDescent="0.25"/>
    <row r="3" spans="1:35" ht="12" customHeight="1" x14ac:dyDescent="0.25"/>
    <row r="4" spans="1:35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55" t="s">
        <v>34</v>
      </c>
      <c r="AH4" s="55" t="s">
        <v>32</v>
      </c>
      <c r="AI4" s="55" t="s">
        <v>33</v>
      </c>
    </row>
    <row r="5" spans="1:35" ht="12" customHeight="1" x14ac:dyDescent="0.25">
      <c r="A5" s="61"/>
      <c r="B5" s="62"/>
      <c r="C5" s="1" t="s">
        <v>4</v>
      </c>
      <c r="D5" s="1" t="s">
        <v>5</v>
      </c>
      <c r="E5" s="1" t="s">
        <v>6</v>
      </c>
      <c r="F5" s="1" t="s">
        <v>0</v>
      </c>
      <c r="G5" s="1" t="s">
        <v>1</v>
      </c>
      <c r="H5" s="1" t="s">
        <v>2</v>
      </c>
      <c r="I5" s="1" t="s">
        <v>3</v>
      </c>
      <c r="J5" s="1" t="s">
        <v>4</v>
      </c>
      <c r="K5" s="1" t="s">
        <v>5</v>
      </c>
      <c r="L5" s="1" t="s">
        <v>6</v>
      </c>
      <c r="M5" s="1" t="s">
        <v>0</v>
      </c>
      <c r="N5" s="1" t="s">
        <v>1</v>
      </c>
      <c r="O5" s="1" t="s">
        <v>2</v>
      </c>
      <c r="P5" s="1" t="s">
        <v>3</v>
      </c>
      <c r="Q5" s="1" t="s">
        <v>4</v>
      </c>
      <c r="R5" s="1" t="s">
        <v>5</v>
      </c>
      <c r="S5" s="1" t="s">
        <v>6</v>
      </c>
      <c r="T5" s="1" t="s">
        <v>0</v>
      </c>
      <c r="U5" s="1" t="s">
        <v>1</v>
      </c>
      <c r="V5" s="1" t="s">
        <v>2</v>
      </c>
      <c r="W5" s="1" t="s">
        <v>3</v>
      </c>
      <c r="X5" s="1" t="s">
        <v>4</v>
      </c>
      <c r="Y5" s="1" t="s">
        <v>5</v>
      </c>
      <c r="Z5" s="1" t="s">
        <v>6</v>
      </c>
      <c r="AA5" s="1" t="s">
        <v>0</v>
      </c>
      <c r="AB5" s="1" t="s">
        <v>1</v>
      </c>
      <c r="AC5" s="1" t="s">
        <v>2</v>
      </c>
      <c r="AD5" s="1" t="s">
        <v>3</v>
      </c>
      <c r="AE5" s="1" t="s">
        <v>4</v>
      </c>
      <c r="AF5" s="1" t="s">
        <v>5</v>
      </c>
      <c r="AG5" s="56"/>
      <c r="AH5" s="56"/>
      <c r="AI5" s="56"/>
    </row>
    <row r="6" spans="1:35" ht="20.100000000000001" customHeight="1" x14ac:dyDescent="0.25">
      <c r="A6" s="20">
        <f>Mar!A6+Mar!AI6+Mar!AJ6-Mar!AH6</f>
        <v>-5</v>
      </c>
      <c r="B6" s="1" t="str">
        <f>Jan!B6</f>
        <v>KC Tirkey</v>
      </c>
      <c r="C6" s="2"/>
      <c r="D6" s="2"/>
      <c r="E6" s="2"/>
      <c r="F6" s="3" t="s">
        <v>39</v>
      </c>
      <c r="G6" s="3"/>
      <c r="H6" s="2"/>
      <c r="I6" s="2"/>
      <c r="J6" s="2"/>
      <c r="K6" s="2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 t="s">
        <v>40</v>
      </c>
      <c r="AD6" s="2" t="s">
        <v>40</v>
      </c>
      <c r="AE6" s="2"/>
      <c r="AF6" s="2"/>
      <c r="AG6" s="2">
        <f>COUNTIF(B6:AF6, "CO")</f>
        <v>2</v>
      </c>
      <c r="AH6" s="2">
        <f t="shared" ref="AH6:AH15" si="0">COUNTIF(B6:AF6, "E")</f>
        <v>1</v>
      </c>
      <c r="AI6" s="2">
        <v>1</v>
      </c>
    </row>
    <row r="7" spans="1:35" ht="20.100000000000001" customHeight="1" x14ac:dyDescent="0.25">
      <c r="A7" s="20">
        <f>Mar!A7+Mar!AI7+Mar!AJ7-Mar!AH7</f>
        <v>27</v>
      </c>
      <c r="B7" s="1" t="str">
        <f>Jan!B7</f>
        <v>GN Madhei</v>
      </c>
      <c r="C7" s="2"/>
      <c r="D7" s="2"/>
      <c r="E7" s="2"/>
      <c r="F7" s="3"/>
      <c r="G7" s="3"/>
      <c r="H7" s="2"/>
      <c r="I7" s="2"/>
      <c r="J7" s="2"/>
      <c r="K7" s="2"/>
      <c r="L7" s="2"/>
      <c r="M7" s="3"/>
      <c r="N7" s="3"/>
      <c r="O7" s="2"/>
      <c r="P7" s="2"/>
      <c r="Q7" s="2"/>
      <c r="R7" s="2"/>
      <c r="S7" s="2" t="s">
        <v>40</v>
      </c>
      <c r="T7" s="3" t="s">
        <v>40</v>
      </c>
      <c r="U7" s="3"/>
      <c r="V7" s="2"/>
      <c r="W7" s="2" t="s">
        <v>40</v>
      </c>
      <c r="X7" s="2"/>
      <c r="Y7" s="2"/>
      <c r="Z7" s="2"/>
      <c r="AA7" s="3"/>
      <c r="AB7" s="3"/>
      <c r="AC7" s="2"/>
      <c r="AD7" s="2" t="s">
        <v>39</v>
      </c>
      <c r="AE7" s="2" t="s">
        <v>39</v>
      </c>
      <c r="AF7" s="2" t="s">
        <v>39</v>
      </c>
      <c r="AG7" s="2">
        <f>COUNTIF(B7:AF7, "CO")</f>
        <v>3</v>
      </c>
      <c r="AH7" s="2">
        <f t="shared" si="0"/>
        <v>3</v>
      </c>
      <c r="AI7" s="2">
        <v>1</v>
      </c>
    </row>
    <row r="8" spans="1:35" ht="20.100000000000001" customHeight="1" x14ac:dyDescent="0.25">
      <c r="A8" s="20">
        <f>Mar!A8+Mar!AI8+Mar!AJ8-Mar!AH8</f>
        <v>21</v>
      </c>
      <c r="B8" s="1" t="str">
        <f>Jan!B8</f>
        <v>S Behera</v>
      </c>
      <c r="C8" s="2" t="s">
        <v>40</v>
      </c>
      <c r="D8" s="2"/>
      <c r="E8" s="2" t="s">
        <v>40</v>
      </c>
      <c r="F8" s="3" t="s">
        <v>40</v>
      </c>
      <c r="G8" s="3"/>
      <c r="H8" s="2"/>
      <c r="I8" s="2"/>
      <c r="J8" s="2"/>
      <c r="K8" s="2"/>
      <c r="L8" s="2"/>
      <c r="M8" s="3"/>
      <c r="N8" s="3"/>
      <c r="O8" s="2"/>
      <c r="P8" s="2"/>
      <c r="Q8" s="2"/>
      <c r="R8" s="2"/>
      <c r="S8" s="2"/>
      <c r="T8" s="3"/>
      <c r="U8" s="3"/>
      <c r="V8" s="2"/>
      <c r="W8" s="2"/>
      <c r="X8" s="2"/>
      <c r="Y8" s="2"/>
      <c r="Z8" s="2"/>
      <c r="AA8" s="3"/>
      <c r="AB8" s="3"/>
      <c r="AC8" s="2"/>
      <c r="AD8" s="2"/>
      <c r="AE8" s="2"/>
      <c r="AF8" s="2"/>
      <c r="AG8" s="2">
        <f>COUNTIF(B8:AF8, "CO")</f>
        <v>3</v>
      </c>
      <c r="AH8" s="2">
        <f t="shared" si="0"/>
        <v>0</v>
      </c>
      <c r="AI8" s="2">
        <v>1</v>
      </c>
    </row>
    <row r="9" spans="1:35" ht="20.100000000000001" customHeight="1" x14ac:dyDescent="0.25">
      <c r="A9" s="20">
        <f>Mar!A9+Mar!AI9+Mar!AJ9-Mar!AH9</f>
        <v>45</v>
      </c>
      <c r="B9" s="1" t="str">
        <f>Jan!B9</f>
        <v>S Lakra</v>
      </c>
      <c r="C9" s="2"/>
      <c r="D9" s="2"/>
      <c r="E9" s="2"/>
      <c r="F9" s="3"/>
      <c r="G9" s="3"/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>
        <f>COUNTIF(B9:AF9, "CO")</f>
        <v>0</v>
      </c>
      <c r="AH9" s="2">
        <f t="shared" si="0"/>
        <v>0</v>
      </c>
      <c r="AI9" s="2">
        <v>1</v>
      </c>
    </row>
    <row r="10" spans="1:35" ht="20.100000000000001" customHeight="1" x14ac:dyDescent="0.25">
      <c r="A10" s="20">
        <f>Mar!A10+Mar!AI10+Mar!AJ10-Mar!AH10</f>
        <v>47</v>
      </c>
      <c r="B10" s="1" t="str">
        <f>Jan!B10</f>
        <v>SK Maharana</v>
      </c>
      <c r="C10" s="2"/>
      <c r="D10" s="2"/>
      <c r="E10" s="2" t="s">
        <v>40</v>
      </c>
      <c r="F10" s="3" t="s">
        <v>40</v>
      </c>
      <c r="G10" s="3"/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>
        <f>COUNTIF(B10:AF10, "CO")</f>
        <v>2</v>
      </c>
      <c r="AH10" s="2">
        <f t="shared" si="0"/>
        <v>0</v>
      </c>
      <c r="AI10" s="2">
        <v>1</v>
      </c>
    </row>
    <row r="11" spans="1:35" ht="20.100000000000001" customHeight="1" x14ac:dyDescent="0.25">
      <c r="A11" s="20">
        <f>Mar!A11+Mar!AI11+Mar!AJ11-Mar!AH11</f>
        <v>47</v>
      </c>
      <c r="B11" s="1" t="str">
        <f>Jan!B11</f>
        <v>PK Sahoo Sr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 t="s">
        <v>40</v>
      </c>
      <c r="AE11" s="2"/>
      <c r="AF11" s="2"/>
      <c r="AG11" s="2">
        <f t="shared" ref="AG11:AG15" si="1">COUNTIF(B11:AF11, "CO")</f>
        <v>1</v>
      </c>
      <c r="AH11" s="2">
        <f t="shared" si="0"/>
        <v>0</v>
      </c>
      <c r="AI11" s="2">
        <v>1</v>
      </c>
    </row>
    <row r="12" spans="1:35" ht="20.100000000000001" customHeight="1" x14ac:dyDescent="0.25">
      <c r="A12" s="20">
        <f>Mar!A12+Mar!AI12+Mar!AJ12-Mar!AH12</f>
        <v>61</v>
      </c>
      <c r="B12" s="1" t="str">
        <f>Jan!B12</f>
        <v>RK Singh</v>
      </c>
      <c r="C12" s="2"/>
      <c r="D12" s="2"/>
      <c r="E12" s="2"/>
      <c r="F12" s="3"/>
      <c r="G12" s="3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>
        <f t="shared" si="1"/>
        <v>0</v>
      </c>
      <c r="AH12" s="2">
        <f t="shared" si="0"/>
        <v>0</v>
      </c>
      <c r="AI12" s="2">
        <v>1</v>
      </c>
    </row>
    <row r="13" spans="1:35" ht="20.100000000000001" customHeight="1" x14ac:dyDescent="0.25">
      <c r="A13" s="20">
        <v>56</v>
      </c>
      <c r="B13" s="1" t="str">
        <f>Jan!B16</f>
        <v>M Bishi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>
        <f t="shared" si="1"/>
        <v>0</v>
      </c>
      <c r="AH13" s="2">
        <f t="shared" si="0"/>
        <v>0</v>
      </c>
      <c r="AI13" s="2">
        <v>1</v>
      </c>
    </row>
    <row r="14" spans="1:35" ht="20.100000000000001" customHeight="1" x14ac:dyDescent="0.25">
      <c r="A14" s="20">
        <f>Mar!A14+Mar!AI14+Mar!AJ14-Mar!AH14</f>
        <v>10</v>
      </c>
      <c r="B14" s="1" t="str">
        <f>Jan!B14</f>
        <v>PK Sahoo Jr</v>
      </c>
      <c r="C14" s="2"/>
      <c r="D14" s="2"/>
      <c r="E14" s="2"/>
      <c r="F14" s="3"/>
      <c r="G14" s="3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>
        <f t="shared" si="1"/>
        <v>0</v>
      </c>
      <c r="AH14" s="2">
        <f t="shared" si="0"/>
        <v>0</v>
      </c>
      <c r="AI14" s="2">
        <v>1</v>
      </c>
    </row>
    <row r="15" spans="1:35" ht="20.100000000000001" customHeight="1" x14ac:dyDescent="0.25">
      <c r="A15" s="20">
        <f>Mar!A15+Mar!AI15+Mar!AJ15-Mar!AH15</f>
        <v>39</v>
      </c>
      <c r="B15" s="1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 t="s">
        <v>40</v>
      </c>
      <c r="AF15" s="2"/>
      <c r="AG15" s="2">
        <f t="shared" si="1"/>
        <v>1</v>
      </c>
      <c r="AH15" s="2">
        <f t="shared" si="0"/>
        <v>0</v>
      </c>
      <c r="AI15" s="2">
        <v>1</v>
      </c>
    </row>
    <row r="17" spans="2:34" x14ac:dyDescent="0.25">
      <c r="C17" s="58" t="s">
        <v>41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0"/>
    </row>
    <row r="18" spans="2:34" x14ac:dyDescent="0.25">
      <c r="B18" s="64" t="s">
        <v>42</v>
      </c>
      <c r="C18" s="64"/>
      <c r="D18" s="64"/>
      <c r="E18" s="64"/>
      <c r="F18" s="64"/>
      <c r="G18" s="64"/>
    </row>
    <row r="29" spans="2:34" x14ac:dyDescent="0.25">
      <c r="B29" s="9"/>
    </row>
  </sheetData>
  <mergeCells count="8">
    <mergeCell ref="AE1:AG1"/>
    <mergeCell ref="C17:AH17"/>
    <mergeCell ref="AH4:AH5"/>
    <mergeCell ref="A4:A5"/>
    <mergeCell ref="AI4:AI5"/>
    <mergeCell ref="B4:B5"/>
    <mergeCell ref="AG4:AG5"/>
    <mergeCell ref="B18:G18"/>
  </mergeCells>
  <conditionalFormatting sqref="C6:AF15">
    <cfRule type="containsText" dxfId="299" priority="1" operator="containsText" text="e">
      <formula>NOT(ISERROR(SEARCH("e",C6)))</formula>
    </cfRule>
    <cfRule type="containsText" dxfId="298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9"/>
  <sheetViews>
    <sheetView zoomScaleNormal="100" workbookViewId="0">
      <selection activeCell="A13" sqref="A13:XFD13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AE1" s="57" t="s">
        <v>15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1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1" t="s">
        <v>6</v>
      </c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0</v>
      </c>
      <c r="L5" s="1" t="s">
        <v>1</v>
      </c>
      <c r="M5" s="1" t="s">
        <v>2</v>
      </c>
      <c r="N5" s="1" t="s">
        <v>3</v>
      </c>
      <c r="O5" s="1" t="s">
        <v>4</v>
      </c>
      <c r="P5" s="1" t="s">
        <v>5</v>
      </c>
      <c r="Q5" s="1" t="s">
        <v>6</v>
      </c>
      <c r="R5" s="1" t="s">
        <v>0</v>
      </c>
      <c r="S5" s="1" t="s">
        <v>1</v>
      </c>
      <c r="T5" s="1" t="s">
        <v>2</v>
      </c>
      <c r="U5" s="1" t="s">
        <v>3</v>
      </c>
      <c r="V5" s="1" t="s">
        <v>4</v>
      </c>
      <c r="W5" s="1" t="s">
        <v>5</v>
      </c>
      <c r="X5" s="1" t="s">
        <v>6</v>
      </c>
      <c r="Y5" s="1" t="s">
        <v>0</v>
      </c>
      <c r="Z5" s="1" t="s">
        <v>1</v>
      </c>
      <c r="AA5" s="1" t="s">
        <v>2</v>
      </c>
      <c r="AB5" s="1" t="s">
        <v>3</v>
      </c>
      <c r="AC5" s="1" t="s">
        <v>4</v>
      </c>
      <c r="AD5" s="1" t="s">
        <v>5</v>
      </c>
      <c r="AE5" s="1" t="s">
        <v>6</v>
      </c>
      <c r="AF5" s="1" t="s">
        <v>0</v>
      </c>
      <c r="AG5" s="1" t="s">
        <v>1</v>
      </c>
      <c r="AH5" s="56"/>
      <c r="AI5" s="56"/>
      <c r="AJ5" s="56"/>
    </row>
    <row r="6" spans="1:36" ht="20.100000000000001" customHeight="1" x14ac:dyDescent="0.25">
      <c r="A6" s="20">
        <f>Apr!A6+Apr!AH6+Apr!AI6-Apr!AG6</f>
        <v>-5</v>
      </c>
      <c r="B6" s="1" t="str">
        <f>Jan!B6</f>
        <v>KC Tirkey</v>
      </c>
      <c r="C6" s="2"/>
      <c r="D6" s="2"/>
      <c r="E6" s="2"/>
      <c r="F6" s="3"/>
      <c r="G6" s="3"/>
      <c r="H6" s="2"/>
      <c r="I6" s="2"/>
      <c r="J6" s="2"/>
      <c r="K6" s="2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 t="s">
        <v>39</v>
      </c>
      <c r="Y6" s="2"/>
      <c r="Z6" s="2"/>
      <c r="AA6" s="3"/>
      <c r="AB6" s="3"/>
      <c r="AC6" s="2"/>
      <c r="AD6" s="2"/>
      <c r="AE6" s="2"/>
      <c r="AF6" s="2"/>
      <c r="AG6" s="2"/>
      <c r="AH6" s="2">
        <f>COUNTIF(C6:AG6, "CO")</f>
        <v>0</v>
      </c>
      <c r="AI6" s="2">
        <f t="shared" ref="AI6:AI15" si="0">COUNTIF(C6:AG6, "E")</f>
        <v>1</v>
      </c>
      <c r="AJ6" s="2">
        <v>1</v>
      </c>
    </row>
    <row r="7" spans="1:36" ht="20.100000000000001" customHeight="1" x14ac:dyDescent="0.25">
      <c r="A7" s="20">
        <f>Apr!A7+Apr!AH7+Apr!AI7-Apr!AG7</f>
        <v>28</v>
      </c>
      <c r="B7" s="1" t="str">
        <f>Jan!B7</f>
        <v>GN Madhei</v>
      </c>
      <c r="C7" s="2"/>
      <c r="D7" s="2"/>
      <c r="E7" s="2"/>
      <c r="F7" s="3"/>
      <c r="G7" s="3"/>
      <c r="H7" s="2"/>
      <c r="I7" s="2"/>
      <c r="J7" s="2"/>
      <c r="K7" s="2"/>
      <c r="L7" s="2"/>
      <c r="M7" s="3"/>
      <c r="N7" s="3" t="s">
        <v>39</v>
      </c>
      <c r="O7" s="2"/>
      <c r="P7" s="2"/>
      <c r="Q7" s="2"/>
      <c r="R7" s="2"/>
      <c r="S7" s="2"/>
      <c r="T7" s="3"/>
      <c r="U7" s="3"/>
      <c r="V7" s="2"/>
      <c r="W7" s="2"/>
      <c r="X7" s="2"/>
      <c r="Y7" s="2"/>
      <c r="Z7" s="2"/>
      <c r="AA7" s="3"/>
      <c r="AB7" s="3"/>
      <c r="AC7" s="2"/>
      <c r="AD7" s="2"/>
      <c r="AE7" s="2"/>
      <c r="AF7" s="2"/>
      <c r="AG7" s="2"/>
      <c r="AH7" s="2">
        <f>COUNTIF(C7:AG7, "CO")</f>
        <v>0</v>
      </c>
      <c r="AI7" s="2">
        <f t="shared" si="0"/>
        <v>1</v>
      </c>
      <c r="AJ7" s="2">
        <v>1</v>
      </c>
    </row>
    <row r="8" spans="1:36" ht="20.100000000000001" customHeight="1" x14ac:dyDescent="0.25">
      <c r="A8" s="20">
        <f>Apr!A8+Apr!AH8+Apr!AI8-Apr!AG8</f>
        <v>19</v>
      </c>
      <c r="B8" s="1" t="str">
        <f>Jan!B8</f>
        <v>S Behera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2"/>
      <c r="P8" s="2"/>
      <c r="Q8" s="2"/>
      <c r="R8" s="2"/>
      <c r="S8" s="2"/>
      <c r="T8" s="3"/>
      <c r="U8" s="3"/>
      <c r="V8" s="2"/>
      <c r="W8" s="2"/>
      <c r="X8" s="2"/>
      <c r="Y8" s="2"/>
      <c r="Z8" s="2" t="s">
        <v>40</v>
      </c>
      <c r="AA8" s="2" t="s">
        <v>40</v>
      </c>
      <c r="AB8" s="2" t="s">
        <v>40</v>
      </c>
      <c r="AC8" s="2" t="s">
        <v>40</v>
      </c>
      <c r="AD8" s="2"/>
      <c r="AE8" s="2" t="s">
        <v>40</v>
      </c>
      <c r="AF8" s="2" t="s">
        <v>40</v>
      </c>
      <c r="AG8" s="2" t="s">
        <v>40</v>
      </c>
      <c r="AH8" s="2">
        <f>COUNTIF(C8:AG8, "CO")</f>
        <v>7</v>
      </c>
      <c r="AI8" s="2">
        <f t="shared" si="0"/>
        <v>0</v>
      </c>
      <c r="AJ8" s="2">
        <v>1</v>
      </c>
    </row>
    <row r="9" spans="1:36" ht="20.100000000000001" customHeight="1" x14ac:dyDescent="0.25">
      <c r="A9" s="20">
        <f>Apr!A9+Apr!AH9+Apr!AI9-Apr!AG9</f>
        <v>46</v>
      </c>
      <c r="B9" s="1" t="str">
        <f>Jan!B9</f>
        <v>S Lakra</v>
      </c>
      <c r="C9" s="2"/>
      <c r="D9" s="2"/>
      <c r="E9" s="2"/>
      <c r="F9" s="3"/>
      <c r="G9" s="3"/>
      <c r="H9" s="2"/>
      <c r="I9" s="2"/>
      <c r="J9" s="2"/>
      <c r="K9" s="2"/>
      <c r="L9" s="2"/>
      <c r="M9" s="3" t="s">
        <v>40</v>
      </c>
      <c r="N9" s="3" t="s">
        <v>40</v>
      </c>
      <c r="O9" s="2" t="s">
        <v>40</v>
      </c>
      <c r="P9" s="2" t="s">
        <v>40</v>
      </c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 t="s">
        <v>40</v>
      </c>
      <c r="AH9" s="2">
        <f>COUNTIF(C9:AG9, "CO")</f>
        <v>5</v>
      </c>
      <c r="AI9" s="2">
        <f t="shared" si="0"/>
        <v>0</v>
      </c>
      <c r="AJ9" s="2">
        <v>1</v>
      </c>
    </row>
    <row r="10" spans="1:36" ht="20.100000000000001" customHeight="1" x14ac:dyDescent="0.25">
      <c r="A10" s="20">
        <f>Apr!A10+Apr!AH10+Apr!AI10-Apr!AG10</f>
        <v>46</v>
      </c>
      <c r="B10" s="1" t="str">
        <f>Jan!B10</f>
        <v>SK Maharana</v>
      </c>
      <c r="C10" s="2"/>
      <c r="D10" s="2"/>
      <c r="E10" s="2"/>
      <c r="F10" s="3" t="s">
        <v>40</v>
      </c>
      <c r="G10" s="3" t="s">
        <v>40</v>
      </c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 t="s">
        <v>40</v>
      </c>
      <c r="U10" s="3"/>
      <c r="V10" s="2" t="s">
        <v>40</v>
      </c>
      <c r="W10" s="2"/>
      <c r="X10" s="2" t="s">
        <v>40</v>
      </c>
      <c r="Y10" s="2"/>
      <c r="Z10" s="2"/>
      <c r="AA10" s="3"/>
      <c r="AB10" s="3"/>
      <c r="AC10" s="2"/>
      <c r="AD10" s="2"/>
      <c r="AE10" s="2"/>
      <c r="AF10" s="2"/>
      <c r="AG10" s="2"/>
      <c r="AH10" s="2">
        <f>COUNTIF(C10:AG10, "CO")</f>
        <v>5</v>
      </c>
      <c r="AI10" s="2">
        <f t="shared" si="0"/>
        <v>0</v>
      </c>
      <c r="AJ10" s="2">
        <v>1</v>
      </c>
    </row>
    <row r="11" spans="1:36" ht="20.100000000000001" customHeight="1" x14ac:dyDescent="0.25">
      <c r="A11" s="20">
        <f>Apr!A11+Apr!AH11+Apr!AI11-Apr!AG11</f>
        <v>47</v>
      </c>
      <c r="B11" s="1" t="str">
        <f>Jan!B11</f>
        <v>PK Sahoo Sr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ref="AH11:AH15" si="1">COUNTIF(C11:AG11, "CO")</f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20">
        <f>Apr!A12+Apr!AH12+Apr!AI12-Apr!AG12</f>
        <v>62</v>
      </c>
      <c r="B12" s="1" t="str">
        <f>Jan!B12</f>
        <v>RK Singh</v>
      </c>
      <c r="C12" s="2"/>
      <c r="D12" s="2"/>
      <c r="E12" s="2"/>
      <c r="F12" s="3"/>
      <c r="G12" s="3"/>
      <c r="H12" s="2" t="s">
        <v>40</v>
      </c>
      <c r="I12" s="2" t="s">
        <v>40</v>
      </c>
      <c r="J12" s="2" t="s">
        <v>40</v>
      </c>
      <c r="K12" s="2" t="s">
        <v>40</v>
      </c>
      <c r="L12" s="2" t="s">
        <v>40</v>
      </c>
      <c r="M12" s="3"/>
      <c r="N12" s="3" t="s">
        <v>40</v>
      </c>
      <c r="O12" s="3" t="s">
        <v>40</v>
      </c>
      <c r="P12" s="3" t="s">
        <v>40</v>
      </c>
      <c r="Q12" s="2"/>
      <c r="R12" s="2"/>
      <c r="S12" s="2"/>
      <c r="T12" s="3" t="s">
        <v>39</v>
      </c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8</v>
      </c>
      <c r="AI12" s="2">
        <f t="shared" si="0"/>
        <v>1</v>
      </c>
      <c r="AJ12" s="2">
        <v>1</v>
      </c>
    </row>
    <row r="13" spans="1:36" ht="20.100000000000001" customHeight="1" x14ac:dyDescent="0.25">
      <c r="A13" s="20">
        <f>Apr!A13+Apr!AH13+Apr!AI13-Apr!AG13</f>
        <v>57</v>
      </c>
      <c r="B13" s="1" t="str">
        <f>Jan!B16</f>
        <v>M Bishi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 t="s">
        <v>40</v>
      </c>
      <c r="V13" s="3" t="s">
        <v>40</v>
      </c>
      <c r="W13" s="2"/>
      <c r="X13" s="2"/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  <c r="AD13" s="2"/>
      <c r="AE13" s="2"/>
      <c r="AF13" s="2"/>
      <c r="AG13" s="2"/>
      <c r="AH13" s="2">
        <f t="shared" si="1"/>
        <v>7</v>
      </c>
      <c r="AI13" s="2">
        <f t="shared" si="0"/>
        <v>0</v>
      </c>
      <c r="AJ13" s="2">
        <v>1</v>
      </c>
    </row>
    <row r="14" spans="1:36" ht="20.100000000000001" customHeight="1" x14ac:dyDescent="0.25">
      <c r="A14" s="20">
        <f>Apr!A14+Apr!AH14+Apr!AI14-Apr!AG14+3</f>
        <v>14</v>
      </c>
      <c r="B14" s="1" t="str">
        <f>Jan!B14</f>
        <v>PK Sahoo Jr</v>
      </c>
      <c r="C14" s="2"/>
      <c r="D14" s="2"/>
      <c r="E14" s="2"/>
      <c r="F14" s="3"/>
      <c r="G14" s="3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si="1"/>
        <v>0</v>
      </c>
      <c r="AI14" s="2">
        <f t="shared" si="0"/>
        <v>0</v>
      </c>
      <c r="AJ14" s="2">
        <v>1</v>
      </c>
    </row>
    <row r="15" spans="1:36" ht="20.100000000000001" customHeight="1" x14ac:dyDescent="0.25">
      <c r="A15" s="20">
        <f>Apr!A15+Apr!AH15+Apr!AI15-Apr!AG15</f>
        <v>39</v>
      </c>
      <c r="B15" s="1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6" x14ac:dyDescent="0.25">
      <c r="X16" s="4"/>
      <c r="Y16" s="4"/>
    </row>
    <row r="17" spans="2:34" x14ac:dyDescent="0.25">
      <c r="C17" s="58" t="s">
        <v>41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0"/>
    </row>
    <row r="29" spans="2:34" x14ac:dyDescent="0.25">
      <c r="B29" s="9"/>
    </row>
  </sheetData>
  <mergeCells count="7">
    <mergeCell ref="AE1:AH1"/>
    <mergeCell ref="AI4:AI5"/>
    <mergeCell ref="A4:A5"/>
    <mergeCell ref="AJ4:AJ5"/>
    <mergeCell ref="C17:AH17"/>
    <mergeCell ref="B4:B5"/>
    <mergeCell ref="AH4:AH5"/>
  </mergeCells>
  <conditionalFormatting sqref="C6:AG15">
    <cfRule type="containsText" dxfId="297" priority="1" operator="containsText" text="e">
      <formula>NOT(ISERROR(SEARCH("e",C6)))</formula>
    </cfRule>
    <cfRule type="containsText" dxfId="296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0"/>
  <sheetViews>
    <sheetView zoomScaleNormal="100" workbookViewId="0">
      <selection activeCell="A12" sqref="A12:XFD12"/>
    </sheetView>
  </sheetViews>
  <sheetFormatPr defaultColWidth="11" defaultRowHeight="15.75" x14ac:dyDescent="0.25"/>
  <cols>
    <col min="1" max="1" width="5" customWidth="1"/>
    <col min="2" max="2" width="15" customWidth="1"/>
    <col min="3" max="32" width="4" customWidth="1"/>
  </cols>
  <sheetData>
    <row r="2" spans="1:35" ht="20.25" customHeight="1" x14ac:dyDescent="0.25">
      <c r="B2" s="6" t="s">
        <v>10</v>
      </c>
      <c r="D2" s="63" t="s">
        <v>16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 spans="1:35" ht="12" customHeight="1" x14ac:dyDescent="0.25"/>
    <row r="4" spans="1:35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55" t="s">
        <v>34</v>
      </c>
      <c r="AH4" s="55" t="s">
        <v>32</v>
      </c>
      <c r="AI4" s="55" t="s">
        <v>33</v>
      </c>
    </row>
    <row r="5" spans="1:35" ht="12" customHeight="1" x14ac:dyDescent="0.25">
      <c r="A5" s="61"/>
      <c r="B5" s="62"/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0</v>
      </c>
      <c r="I5" s="1" t="s">
        <v>1</v>
      </c>
      <c r="J5" s="1" t="s">
        <v>2</v>
      </c>
      <c r="K5" s="1" t="s">
        <v>3</v>
      </c>
      <c r="L5" s="1" t="s">
        <v>4</v>
      </c>
      <c r="M5" s="1" t="s">
        <v>5</v>
      </c>
      <c r="N5" s="1" t="s">
        <v>6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0</v>
      </c>
      <c r="W5" s="1" t="s">
        <v>1</v>
      </c>
      <c r="X5" s="1" t="s">
        <v>2</v>
      </c>
      <c r="Y5" s="1" t="s">
        <v>3</v>
      </c>
      <c r="Z5" s="1" t="s">
        <v>4</v>
      </c>
      <c r="AA5" s="1" t="s">
        <v>5</v>
      </c>
      <c r="AB5" s="1" t="s">
        <v>6</v>
      </c>
      <c r="AC5" s="1" t="s">
        <v>0</v>
      </c>
      <c r="AD5" s="1" t="s">
        <v>1</v>
      </c>
      <c r="AE5" s="1" t="s">
        <v>2</v>
      </c>
      <c r="AF5" s="1" t="s">
        <v>3</v>
      </c>
      <c r="AG5" s="56"/>
      <c r="AH5" s="56"/>
      <c r="AI5" s="56"/>
    </row>
    <row r="6" spans="1:35" ht="20.100000000000001" customHeight="1" x14ac:dyDescent="0.25">
      <c r="A6" s="20">
        <f>May!A6+May!AI6+May!AJ6-May!AH6</f>
        <v>-3</v>
      </c>
      <c r="B6" s="1" t="str">
        <f>Jan!B6</f>
        <v>KC Tirkey</v>
      </c>
      <c r="C6" s="2" t="s">
        <v>40</v>
      </c>
      <c r="D6" s="2" t="s">
        <v>40</v>
      </c>
      <c r="E6" s="2"/>
      <c r="F6" s="3" t="s">
        <v>40</v>
      </c>
      <c r="G6" s="3" t="s">
        <v>40</v>
      </c>
      <c r="H6" s="2"/>
      <c r="I6" s="2"/>
      <c r="J6" s="2"/>
      <c r="K6" s="2"/>
      <c r="L6" s="2"/>
      <c r="M6" s="3"/>
      <c r="N6" s="3"/>
      <c r="O6" s="2"/>
      <c r="P6" s="2"/>
      <c r="Q6" s="2"/>
      <c r="R6" s="2"/>
      <c r="S6" s="2"/>
      <c r="T6" s="3" t="s">
        <v>39</v>
      </c>
      <c r="U6" s="3"/>
      <c r="V6" s="2"/>
      <c r="W6" s="2"/>
      <c r="X6" s="2" t="s">
        <v>40</v>
      </c>
      <c r="Y6" s="2" t="s">
        <v>40</v>
      </c>
      <c r="Z6" s="2"/>
      <c r="AA6" s="3"/>
      <c r="AB6" s="3"/>
      <c r="AC6" s="2"/>
      <c r="AD6" s="2"/>
      <c r="AE6" s="2"/>
      <c r="AF6" s="2"/>
      <c r="AG6" s="2">
        <f>COUNTIF(B6:AF6, "CO")</f>
        <v>6</v>
      </c>
      <c r="AH6" s="2">
        <f t="shared" ref="AH6:AH15" si="0">COUNTIF(B6:AF6, "E")</f>
        <v>1</v>
      </c>
      <c r="AI6" s="2">
        <v>1</v>
      </c>
    </row>
    <row r="7" spans="1:35" ht="20.100000000000001" customHeight="1" x14ac:dyDescent="0.25">
      <c r="A7" s="20">
        <f>May!A7+May!AI7+May!AJ7-May!AH7</f>
        <v>30</v>
      </c>
      <c r="B7" s="1" t="str">
        <f>Jan!B7</f>
        <v>GN Madhei</v>
      </c>
      <c r="C7" s="2"/>
      <c r="D7" s="2"/>
      <c r="E7" s="2"/>
      <c r="F7" s="3"/>
      <c r="G7" s="3"/>
      <c r="H7" s="2"/>
      <c r="I7" s="2"/>
      <c r="J7" s="2"/>
      <c r="K7" s="2"/>
      <c r="L7" s="2" t="s">
        <v>40</v>
      </c>
      <c r="M7" s="2" t="s">
        <v>40</v>
      </c>
      <c r="N7" s="2" t="s">
        <v>40</v>
      </c>
      <c r="O7" s="2" t="s">
        <v>40</v>
      </c>
      <c r="P7" s="2"/>
      <c r="Q7" s="2"/>
      <c r="R7" s="2" t="s">
        <v>40</v>
      </c>
      <c r="S7" s="2" t="s">
        <v>40</v>
      </c>
      <c r="T7" s="3" t="s">
        <v>40</v>
      </c>
      <c r="U7" s="3"/>
      <c r="V7" s="2"/>
      <c r="W7" s="2"/>
      <c r="X7" s="2"/>
      <c r="Y7" s="2"/>
      <c r="Z7" s="2"/>
      <c r="AA7" s="3"/>
      <c r="AB7" s="3"/>
      <c r="AC7" s="2"/>
      <c r="AD7" s="2"/>
      <c r="AE7" s="2"/>
      <c r="AF7" s="2"/>
      <c r="AG7" s="2">
        <f>COUNTIF(B7:AF7, "CO")</f>
        <v>7</v>
      </c>
      <c r="AH7" s="2">
        <f t="shared" si="0"/>
        <v>0</v>
      </c>
      <c r="AI7" s="2">
        <v>1</v>
      </c>
    </row>
    <row r="8" spans="1:35" ht="20.100000000000001" customHeight="1" x14ac:dyDescent="0.25">
      <c r="A8" s="20">
        <f>May!A8+May!AI8+May!AJ8-May!AH8</f>
        <v>13</v>
      </c>
      <c r="B8" s="1" t="str">
        <f>Jan!B8</f>
        <v>S Behera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2"/>
      <c r="P8" s="2"/>
      <c r="Q8" s="2"/>
      <c r="R8" s="2"/>
      <c r="S8" s="2"/>
      <c r="T8" s="3"/>
      <c r="U8" s="3"/>
      <c r="V8" s="2"/>
      <c r="W8" s="2"/>
      <c r="X8" s="2"/>
      <c r="Y8" s="2"/>
      <c r="Z8" s="2"/>
      <c r="AA8" s="3"/>
      <c r="AB8" s="3"/>
      <c r="AC8" s="2"/>
      <c r="AD8" s="2"/>
      <c r="AE8" s="2"/>
      <c r="AF8" s="2"/>
      <c r="AG8" s="2">
        <f>COUNTIF(B8:AF8, "CO")</f>
        <v>0</v>
      </c>
      <c r="AH8" s="2">
        <f t="shared" si="0"/>
        <v>0</v>
      </c>
      <c r="AI8" s="2">
        <v>1</v>
      </c>
    </row>
    <row r="9" spans="1:35" ht="20.100000000000001" customHeight="1" x14ac:dyDescent="0.25">
      <c r="A9" s="20">
        <f>May!A9+May!AI9+May!AJ9-May!AH9</f>
        <v>42</v>
      </c>
      <c r="B9" s="1" t="str">
        <f>Jan!B9</f>
        <v>S Lakra</v>
      </c>
      <c r="C9" s="2" t="s">
        <v>40</v>
      </c>
      <c r="D9" s="2"/>
      <c r="E9" s="2"/>
      <c r="F9" s="3"/>
      <c r="G9" s="3" t="s">
        <v>39</v>
      </c>
      <c r="H9" s="2"/>
      <c r="I9" s="2"/>
      <c r="J9" s="2"/>
      <c r="K9" s="2"/>
      <c r="L9" s="2"/>
      <c r="M9" s="3"/>
      <c r="N9" s="3" t="s">
        <v>39</v>
      </c>
      <c r="O9" s="2"/>
      <c r="P9" s="2"/>
      <c r="Q9" s="2"/>
      <c r="R9" s="2"/>
      <c r="S9" s="2"/>
      <c r="T9" s="3"/>
      <c r="U9" s="3"/>
      <c r="V9" s="2"/>
      <c r="W9" s="2" t="s">
        <v>40</v>
      </c>
      <c r="X9" s="2" t="s">
        <v>40</v>
      </c>
      <c r="Y9" s="2" t="s">
        <v>40</v>
      </c>
      <c r="Z9" s="2" t="s">
        <v>40</v>
      </c>
      <c r="AA9" s="3"/>
      <c r="AB9" s="3"/>
      <c r="AC9" s="2"/>
      <c r="AD9" s="2"/>
      <c r="AE9" s="2"/>
      <c r="AF9" s="2"/>
      <c r="AG9" s="2">
        <f>COUNTIF(B9:AF9, "CO")</f>
        <v>5</v>
      </c>
      <c r="AH9" s="2">
        <f t="shared" si="0"/>
        <v>2</v>
      </c>
      <c r="AI9" s="2">
        <v>1</v>
      </c>
    </row>
    <row r="10" spans="1:35" ht="20.100000000000001" customHeight="1" x14ac:dyDescent="0.25">
      <c r="A10" s="20">
        <f>May!A10+May!AI10+May!AJ10-May!AH10</f>
        <v>42</v>
      </c>
      <c r="B10" s="1" t="str">
        <f>Jan!B10</f>
        <v>SK Maharana</v>
      </c>
      <c r="C10" s="2"/>
      <c r="D10" s="2"/>
      <c r="E10" s="2"/>
      <c r="F10" s="3"/>
      <c r="G10" s="3"/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 t="s">
        <v>39</v>
      </c>
      <c r="X10" s="2"/>
      <c r="Y10" s="2"/>
      <c r="Z10" s="2"/>
      <c r="AA10" s="3"/>
      <c r="AB10" s="3"/>
      <c r="AC10" s="2"/>
      <c r="AD10" s="2"/>
      <c r="AE10" s="2"/>
      <c r="AF10" s="2"/>
      <c r="AG10" s="2">
        <f>COUNTIF(B10:AF10, "CO")</f>
        <v>0</v>
      </c>
      <c r="AH10" s="2">
        <f t="shared" si="0"/>
        <v>1</v>
      </c>
      <c r="AI10" s="2">
        <v>1</v>
      </c>
    </row>
    <row r="11" spans="1:35" ht="20.100000000000001" customHeight="1" x14ac:dyDescent="0.25">
      <c r="A11" s="20">
        <f>May!A11+May!AI11+May!AJ11-May!AH11</f>
        <v>48</v>
      </c>
      <c r="B11" s="1" t="str">
        <f>Jan!B11</f>
        <v>PK Sahoo Sr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 t="s">
        <v>40</v>
      </c>
      <c r="Z11" s="2" t="s">
        <v>40</v>
      </c>
      <c r="AA11" s="3"/>
      <c r="AB11" s="3"/>
      <c r="AC11" s="2"/>
      <c r="AD11" s="2"/>
      <c r="AE11" s="2"/>
      <c r="AF11" s="2"/>
      <c r="AG11" s="2">
        <f t="shared" ref="AG11:AG15" si="1">COUNTIF(B11:AF11, "CO")</f>
        <v>2</v>
      </c>
      <c r="AH11" s="2">
        <f t="shared" si="0"/>
        <v>0</v>
      </c>
      <c r="AI11" s="2">
        <v>1</v>
      </c>
    </row>
    <row r="12" spans="1:35" ht="20.100000000000001" customHeight="1" x14ac:dyDescent="0.25">
      <c r="A12" s="20">
        <f>May!A12+May!AI12+May!AJ12-May!AH12</f>
        <v>56</v>
      </c>
      <c r="B12" s="1" t="str">
        <f>Jan!B12</f>
        <v>RK Singh</v>
      </c>
      <c r="C12" s="2"/>
      <c r="D12" s="2"/>
      <c r="E12" s="2"/>
      <c r="F12" s="3"/>
      <c r="G12" s="3" t="s">
        <v>39</v>
      </c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>
        <f t="shared" si="1"/>
        <v>0</v>
      </c>
      <c r="AH12" s="2">
        <f t="shared" si="0"/>
        <v>1</v>
      </c>
      <c r="AI12" s="2">
        <v>1</v>
      </c>
    </row>
    <row r="13" spans="1:35" ht="20.100000000000001" customHeight="1" x14ac:dyDescent="0.25">
      <c r="A13" s="20">
        <f>May!A13+May!AI13+May!AJ13-May!AH13</f>
        <v>51</v>
      </c>
      <c r="B13" s="1" t="str">
        <f>Jan!B16</f>
        <v>M Bishi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 t="s">
        <v>39</v>
      </c>
      <c r="Z13" s="2"/>
      <c r="AA13" s="3"/>
      <c r="AB13" s="3"/>
      <c r="AC13" s="2"/>
      <c r="AD13" s="2"/>
      <c r="AE13" s="2"/>
      <c r="AF13" s="2"/>
      <c r="AG13" s="2">
        <f t="shared" si="1"/>
        <v>0</v>
      </c>
      <c r="AH13" s="2">
        <f t="shared" si="0"/>
        <v>1</v>
      </c>
      <c r="AI13" s="2">
        <v>1</v>
      </c>
    </row>
    <row r="14" spans="1:35" ht="20.100000000000001" customHeight="1" x14ac:dyDescent="0.25">
      <c r="A14" s="20">
        <f>May!A14+May!AI14+May!AJ14-May!AH14</f>
        <v>15</v>
      </c>
      <c r="B14" s="1" t="str">
        <f>Jan!B14</f>
        <v>PK Sahoo Jr</v>
      </c>
      <c r="C14" s="2"/>
      <c r="D14" s="2"/>
      <c r="E14" s="2"/>
      <c r="F14" s="3"/>
      <c r="G14" s="3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>
        <f t="shared" si="1"/>
        <v>0</v>
      </c>
      <c r="AH14" s="2">
        <f t="shared" si="0"/>
        <v>0</v>
      </c>
      <c r="AI14" s="2">
        <v>1</v>
      </c>
    </row>
    <row r="15" spans="1:35" ht="20.100000000000001" customHeight="1" x14ac:dyDescent="0.25">
      <c r="A15" s="20">
        <f>May!A15+May!AI15+May!AJ15-May!AH15</f>
        <v>40</v>
      </c>
      <c r="B15" s="1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 t="s">
        <v>40</v>
      </c>
      <c r="AD15" s="2"/>
      <c r="AE15" s="2"/>
      <c r="AF15" s="2"/>
      <c r="AG15" s="2">
        <f t="shared" si="1"/>
        <v>1</v>
      </c>
      <c r="AH15" s="2">
        <f t="shared" si="0"/>
        <v>0</v>
      </c>
      <c r="AI15" s="2">
        <v>1</v>
      </c>
    </row>
    <row r="17" spans="2:34" x14ac:dyDescent="0.25">
      <c r="C17" s="58" t="s">
        <v>41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0"/>
    </row>
    <row r="30" spans="2:34" x14ac:dyDescent="0.25">
      <c r="B30" s="9"/>
    </row>
  </sheetData>
  <mergeCells count="7">
    <mergeCell ref="D2:AG2"/>
    <mergeCell ref="C17:AH17"/>
    <mergeCell ref="AH4:AH5"/>
    <mergeCell ref="A4:A5"/>
    <mergeCell ref="AI4:AI5"/>
    <mergeCell ref="B4:B5"/>
    <mergeCell ref="AG4:AG5"/>
  </mergeCells>
  <conditionalFormatting sqref="C6:AF15">
    <cfRule type="containsText" dxfId="295" priority="1" operator="containsText" text="e">
      <formula>NOT(ISERROR(SEARCH("e",C6)))</formula>
    </cfRule>
    <cfRule type="containsText" dxfId="294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11" sqref="A11:XFD11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A1" s="68" t="s">
        <v>10</v>
      </c>
      <c r="B1" s="68"/>
      <c r="C1" s="68"/>
      <c r="D1" s="68"/>
      <c r="E1" s="68"/>
      <c r="F1" s="68"/>
      <c r="G1" s="68"/>
      <c r="H1" s="63" t="s">
        <v>17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1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1" t="s">
        <v>4</v>
      </c>
      <c r="D5" s="1" t="s">
        <v>5</v>
      </c>
      <c r="E5" s="1" t="s">
        <v>6</v>
      </c>
      <c r="F5" s="1" t="s">
        <v>0</v>
      </c>
      <c r="G5" s="1" t="s">
        <v>1</v>
      </c>
      <c r="H5" s="1" t="s">
        <v>2</v>
      </c>
      <c r="I5" s="1" t="s">
        <v>3</v>
      </c>
      <c r="J5" s="1" t="s">
        <v>4</v>
      </c>
      <c r="K5" s="1" t="s">
        <v>5</v>
      </c>
      <c r="L5" s="1" t="s">
        <v>6</v>
      </c>
      <c r="M5" s="1" t="s">
        <v>0</v>
      </c>
      <c r="N5" s="1" t="s">
        <v>1</v>
      </c>
      <c r="O5" s="1" t="s">
        <v>2</v>
      </c>
      <c r="P5" s="1" t="s">
        <v>3</v>
      </c>
      <c r="Q5" s="1" t="s">
        <v>4</v>
      </c>
      <c r="R5" s="1" t="s">
        <v>5</v>
      </c>
      <c r="S5" s="1" t="s">
        <v>6</v>
      </c>
      <c r="T5" s="1" t="s">
        <v>0</v>
      </c>
      <c r="U5" s="1" t="s">
        <v>1</v>
      </c>
      <c r="V5" s="1" t="s">
        <v>2</v>
      </c>
      <c r="W5" s="1" t="s">
        <v>3</v>
      </c>
      <c r="X5" s="1" t="s">
        <v>4</v>
      </c>
      <c r="Y5" s="1" t="s">
        <v>5</v>
      </c>
      <c r="Z5" s="1" t="s">
        <v>6</v>
      </c>
      <c r="AA5" s="1" t="s">
        <v>0</v>
      </c>
      <c r="AB5" s="1" t="s">
        <v>1</v>
      </c>
      <c r="AC5" s="1" t="s">
        <v>2</v>
      </c>
      <c r="AD5" s="1" t="s">
        <v>3</v>
      </c>
      <c r="AE5" s="1" t="s">
        <v>4</v>
      </c>
      <c r="AF5" s="1" t="s">
        <v>5</v>
      </c>
      <c r="AG5" s="1" t="s">
        <v>6</v>
      </c>
      <c r="AH5" s="56"/>
      <c r="AI5" s="56"/>
      <c r="AJ5" s="56"/>
    </row>
    <row r="6" spans="1:36" ht="20.100000000000001" customHeight="1" x14ac:dyDescent="0.25">
      <c r="A6" s="20">
        <f>Jun!A6+Jun!AH6+Jun!AI6-Jun!AG6</f>
        <v>-7</v>
      </c>
      <c r="B6" s="1" t="str">
        <f>Jan!B6</f>
        <v>KC Tirkey</v>
      </c>
      <c r="C6" s="2"/>
      <c r="D6" s="2"/>
      <c r="E6" s="2"/>
      <c r="F6" s="3" t="s">
        <v>39</v>
      </c>
      <c r="G6" s="3" t="s">
        <v>39</v>
      </c>
      <c r="H6" s="2"/>
      <c r="I6" s="2"/>
      <c r="J6" s="2"/>
      <c r="K6" s="2"/>
      <c r="L6" s="2"/>
      <c r="M6" s="3" t="s">
        <v>40</v>
      </c>
      <c r="N6" s="3" t="s">
        <v>40</v>
      </c>
      <c r="O6" s="2"/>
      <c r="P6" s="2" t="s">
        <v>40</v>
      </c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/>
      <c r="AD6" s="2"/>
      <c r="AE6" s="2"/>
      <c r="AF6" s="2"/>
      <c r="AG6" s="2"/>
      <c r="AH6" s="26">
        <f>COUNTIF(C6:AG6, "CO")</f>
        <v>3</v>
      </c>
      <c r="AI6" s="2">
        <f t="shared" ref="AI6:AI15" si="0">COUNTIF(C6:AG6, "E")</f>
        <v>2</v>
      </c>
      <c r="AJ6" s="2">
        <v>1</v>
      </c>
    </row>
    <row r="7" spans="1:36" ht="20.100000000000001" customHeight="1" x14ac:dyDescent="0.25">
      <c r="A7" s="20">
        <f>Jun!A7+Jun!AH7+Jun!AI7-Jun!AG7</f>
        <v>24</v>
      </c>
      <c r="B7" s="1" t="str">
        <f>Jan!B7</f>
        <v>GN Madhei</v>
      </c>
      <c r="C7" s="2"/>
      <c r="D7" s="2"/>
      <c r="E7" s="2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 t="s">
        <v>39</v>
      </c>
      <c r="U7" s="3"/>
      <c r="V7" s="2"/>
      <c r="W7" s="2"/>
      <c r="X7" s="2"/>
      <c r="Y7" s="2" t="s">
        <v>40</v>
      </c>
      <c r="Z7" s="2" t="s">
        <v>40</v>
      </c>
      <c r="AA7" s="3"/>
      <c r="AB7" s="3"/>
      <c r="AC7" s="2" t="s">
        <v>40</v>
      </c>
      <c r="AD7" s="2" t="s">
        <v>40</v>
      </c>
      <c r="AE7" s="2"/>
      <c r="AF7" s="2"/>
      <c r="AG7" s="2"/>
      <c r="AH7" s="26">
        <f>COUNTIF(C7:AG7, "CO")</f>
        <v>4</v>
      </c>
      <c r="AI7" s="2">
        <f t="shared" si="0"/>
        <v>1</v>
      </c>
      <c r="AJ7" s="2">
        <v>1</v>
      </c>
    </row>
    <row r="8" spans="1:36" ht="20.100000000000001" customHeight="1" x14ac:dyDescent="0.25">
      <c r="A8" s="20">
        <f>Jun!A9+Jun!AH9+Jun!AI9-Jun!AG9</f>
        <v>40</v>
      </c>
      <c r="B8" s="1" t="str">
        <f>Jan!B9</f>
        <v>S Lakra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2"/>
      <c r="P8" s="2"/>
      <c r="Q8" s="2"/>
      <c r="R8" s="2"/>
      <c r="S8" s="2"/>
      <c r="T8" s="3"/>
      <c r="U8" s="3"/>
      <c r="V8" s="2"/>
      <c r="W8" s="2"/>
      <c r="X8" s="2"/>
      <c r="Y8" s="2"/>
      <c r="Z8" s="2"/>
      <c r="AA8" s="3"/>
      <c r="AB8" s="3" t="s">
        <v>39</v>
      </c>
      <c r="AC8" s="2"/>
      <c r="AD8" s="2"/>
      <c r="AE8" s="2"/>
      <c r="AF8" s="2" t="s">
        <v>39</v>
      </c>
      <c r="AG8" s="2"/>
      <c r="AH8" s="26">
        <f>COUNTIF(C8:AG8, "CO")</f>
        <v>0</v>
      </c>
      <c r="AI8" s="2">
        <f t="shared" si="0"/>
        <v>2</v>
      </c>
      <c r="AJ8" s="2">
        <v>1</v>
      </c>
    </row>
    <row r="9" spans="1:36" ht="20.100000000000001" customHeight="1" x14ac:dyDescent="0.25">
      <c r="A9" s="20">
        <f>Jun!A10+Jun!AH10+Jun!AI10-Jun!AG10</f>
        <v>44</v>
      </c>
      <c r="B9" s="1" t="str">
        <f>Jan!B10</f>
        <v>SK Maharana</v>
      </c>
      <c r="C9" s="2"/>
      <c r="D9" s="2"/>
      <c r="E9" s="2"/>
      <c r="F9" s="3" t="s">
        <v>40</v>
      </c>
      <c r="G9" s="3"/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 t="s">
        <v>40</v>
      </c>
      <c r="X9" s="2" t="s">
        <v>40</v>
      </c>
      <c r="Y9" s="2"/>
      <c r="Z9" s="2"/>
      <c r="AA9" s="3" t="s">
        <v>39</v>
      </c>
      <c r="AB9" s="3"/>
      <c r="AC9" s="2"/>
      <c r="AD9" s="2"/>
      <c r="AE9" s="2"/>
      <c r="AF9" s="2"/>
      <c r="AG9" s="2"/>
      <c r="AH9" s="26">
        <f>COUNTIF(C9:AG9, "CO")</f>
        <v>3</v>
      </c>
      <c r="AI9" s="2">
        <f t="shared" si="0"/>
        <v>1</v>
      </c>
      <c r="AJ9" s="2">
        <v>1</v>
      </c>
    </row>
    <row r="10" spans="1:36" ht="20.100000000000001" customHeight="1" x14ac:dyDescent="0.25">
      <c r="A10" s="20">
        <f>Jun!A11+Jun!AH11+Jun!AI11-Jun!AG11</f>
        <v>47</v>
      </c>
      <c r="B10" s="1" t="str">
        <f>Jan!B11</f>
        <v>PK Sahoo Sr</v>
      </c>
      <c r="C10" s="2" t="s">
        <v>40</v>
      </c>
      <c r="D10" s="2" t="s">
        <v>40</v>
      </c>
      <c r="E10" s="2" t="s">
        <v>40</v>
      </c>
      <c r="F10" s="2" t="s">
        <v>40</v>
      </c>
      <c r="G10" s="2" t="s">
        <v>40</v>
      </c>
      <c r="H10" s="2" t="s">
        <v>40</v>
      </c>
      <c r="I10" s="2"/>
      <c r="J10" s="2" t="s">
        <v>40</v>
      </c>
      <c r="K10" s="2" t="s">
        <v>40</v>
      </c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 t="s">
        <v>39</v>
      </c>
      <c r="AC10" s="2" t="s">
        <v>39</v>
      </c>
      <c r="AD10" s="2" t="s">
        <v>39</v>
      </c>
      <c r="AE10" s="2"/>
      <c r="AF10" s="2"/>
      <c r="AG10" s="2"/>
      <c r="AH10" s="26">
        <f t="shared" ref="AH10:AH14" si="1">COUNTIF(C10:AG10, "CO")</f>
        <v>8</v>
      </c>
      <c r="AI10" s="2">
        <f t="shared" si="0"/>
        <v>3</v>
      </c>
      <c r="AJ10" s="2">
        <v>1</v>
      </c>
    </row>
    <row r="11" spans="1:36" ht="20.100000000000001" customHeight="1" x14ac:dyDescent="0.25">
      <c r="A11" s="20">
        <f>Jun!A12+Jun!AH12+Jun!AI12-Jun!AG12</f>
        <v>58</v>
      </c>
      <c r="B11" s="1" t="str">
        <f>Jan!B12</f>
        <v>RK Singh</v>
      </c>
      <c r="C11" s="2"/>
      <c r="D11" s="2"/>
      <c r="E11" s="2" t="s">
        <v>39</v>
      </c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6">
        <f t="shared" si="1"/>
        <v>0</v>
      </c>
      <c r="AI11" s="2">
        <f t="shared" si="0"/>
        <v>1</v>
      </c>
      <c r="AJ11" s="2">
        <v>1</v>
      </c>
    </row>
    <row r="12" spans="1:36" ht="20.100000000000001" customHeight="1" x14ac:dyDescent="0.25">
      <c r="A12" s="20">
        <f>Jun!A13+Jun!AH13+Jun!AI13-Jun!AG13</f>
        <v>53</v>
      </c>
      <c r="B12" s="1" t="str">
        <f>Jan!B16</f>
        <v>M Bishi</v>
      </c>
      <c r="C12" s="2"/>
      <c r="D12" s="2"/>
      <c r="E12" s="2"/>
      <c r="F12" s="3"/>
      <c r="G12" s="3"/>
      <c r="H12" s="2"/>
      <c r="I12" s="2"/>
      <c r="J12" s="2"/>
      <c r="K12" s="2" t="s">
        <v>39</v>
      </c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6">
        <f t="shared" si="1"/>
        <v>0</v>
      </c>
      <c r="AI12" s="2">
        <f t="shared" si="0"/>
        <v>1</v>
      </c>
      <c r="AJ12" s="2">
        <v>1</v>
      </c>
    </row>
    <row r="13" spans="1:36" ht="20.100000000000001" customHeight="1" x14ac:dyDescent="0.25">
      <c r="A13" s="20">
        <v>27</v>
      </c>
      <c r="B13" s="25" t="str">
        <f>Jan!B17</f>
        <v>S C Behera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 t="s">
        <v>40</v>
      </c>
      <c r="Q13" s="2" t="s">
        <v>40</v>
      </c>
      <c r="R13" s="2"/>
      <c r="S13" s="2" t="s">
        <v>40</v>
      </c>
      <c r="T13" s="3"/>
      <c r="U13" s="3"/>
      <c r="V13" s="2"/>
      <c r="W13" s="2" t="s">
        <v>40</v>
      </c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6">
        <f t="shared" ref="AH13" si="2">COUNTIF(C13:AG13, "CO")</f>
        <v>4</v>
      </c>
      <c r="AI13" s="2">
        <f t="shared" ref="AI13" si="3">COUNTIF(C13:AG13, "E")</f>
        <v>0</v>
      </c>
      <c r="AJ13" s="2">
        <v>1</v>
      </c>
    </row>
    <row r="14" spans="1:36" ht="20.100000000000001" customHeight="1" x14ac:dyDescent="0.25">
      <c r="A14" s="20">
        <f>Jun!A14+Jun!AH14+Jun!AI14-Jun!AG14</f>
        <v>16</v>
      </c>
      <c r="B14" s="1" t="str">
        <f>Jan!B14</f>
        <v>PK Sahoo Jr</v>
      </c>
      <c r="C14" s="2"/>
      <c r="D14" s="2"/>
      <c r="E14" s="2"/>
      <c r="F14" s="3"/>
      <c r="G14" s="3"/>
      <c r="H14" s="2"/>
      <c r="I14" s="2"/>
      <c r="J14" s="2"/>
      <c r="K14" s="2"/>
      <c r="L14" s="2"/>
      <c r="M14" s="3" t="s">
        <v>39</v>
      </c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 t="s">
        <v>39</v>
      </c>
      <c r="Z14" s="2" t="s">
        <v>39</v>
      </c>
      <c r="AA14" s="3"/>
      <c r="AB14" s="3"/>
      <c r="AC14" s="2"/>
      <c r="AD14" s="2"/>
      <c r="AE14" s="2"/>
      <c r="AF14" s="2"/>
      <c r="AG14" s="2"/>
      <c r="AH14" s="26">
        <f t="shared" si="1"/>
        <v>0</v>
      </c>
      <c r="AI14" s="2">
        <f t="shared" si="0"/>
        <v>3</v>
      </c>
      <c r="AJ14" s="2">
        <v>1</v>
      </c>
    </row>
    <row r="15" spans="1:36" ht="20.100000000000001" customHeight="1" x14ac:dyDescent="0.25">
      <c r="A15" s="20">
        <f>Jun!A15+Jun!AH15+Jun!AI15-Jun!AG15</f>
        <v>40</v>
      </c>
      <c r="B15" s="1" t="str">
        <f>Jan!B15</f>
        <v>D Pangi</v>
      </c>
      <c r="C15" s="2"/>
      <c r="D15" s="2"/>
      <c r="E15" s="2"/>
      <c r="F15" s="3"/>
      <c r="G15" s="3"/>
      <c r="H15" s="2"/>
      <c r="I15" s="2" t="s">
        <v>40</v>
      </c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6">
        <f t="shared" ref="AH15" si="4">COUNTIF(C15:AG15, "CO")</f>
        <v>1</v>
      </c>
      <c r="AI15" s="2">
        <f t="shared" si="0"/>
        <v>0</v>
      </c>
      <c r="AJ15" s="2">
        <v>1</v>
      </c>
    </row>
    <row r="16" spans="1:36" x14ac:dyDescent="0.25">
      <c r="C16" s="65" t="s">
        <v>41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7"/>
    </row>
    <row r="18" spans="2:7" x14ac:dyDescent="0.25">
      <c r="B18" s="64" t="s">
        <v>43</v>
      </c>
      <c r="C18" s="64"/>
      <c r="D18" s="64"/>
      <c r="E18" s="64"/>
      <c r="F18" s="64"/>
      <c r="G18" s="64"/>
    </row>
    <row r="28" spans="2:7" x14ac:dyDescent="0.25">
      <c r="B28" s="9"/>
    </row>
  </sheetData>
  <mergeCells count="9">
    <mergeCell ref="A1:G1"/>
    <mergeCell ref="H1:AH1"/>
    <mergeCell ref="AI4:AI5"/>
    <mergeCell ref="A4:A5"/>
    <mergeCell ref="AJ4:AJ5"/>
    <mergeCell ref="C16:AH16"/>
    <mergeCell ref="B4:B5"/>
    <mergeCell ref="AH4:AH5"/>
    <mergeCell ref="B18:G18"/>
  </mergeCells>
  <conditionalFormatting sqref="C6:AG15">
    <cfRule type="containsText" dxfId="293" priority="1" operator="containsText" text="e">
      <formula>NOT(ISERROR(SEARCH("e",C6)))</formula>
    </cfRule>
    <cfRule type="containsText" dxfId="292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14" sqref="A14:XFD14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18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1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0</v>
      </c>
      <c r="K5" s="1" t="s">
        <v>1</v>
      </c>
      <c r="L5" s="1" t="s">
        <v>2</v>
      </c>
      <c r="M5" s="1" t="s">
        <v>3</v>
      </c>
      <c r="N5" s="1" t="s">
        <v>4</v>
      </c>
      <c r="O5" s="1" t="s">
        <v>5</v>
      </c>
      <c r="P5" s="1" t="s">
        <v>6</v>
      </c>
      <c r="Q5" s="1" t="s">
        <v>0</v>
      </c>
      <c r="R5" s="1" t="s">
        <v>1</v>
      </c>
      <c r="S5" s="1" t="s">
        <v>2</v>
      </c>
      <c r="T5" s="1" t="s">
        <v>3</v>
      </c>
      <c r="U5" s="1" t="s">
        <v>4</v>
      </c>
      <c r="V5" s="1" t="s">
        <v>5</v>
      </c>
      <c r="W5" s="1" t="s">
        <v>6</v>
      </c>
      <c r="X5" s="1" t="s">
        <v>0</v>
      </c>
      <c r="Y5" s="1" t="s">
        <v>1</v>
      </c>
      <c r="Z5" s="1" t="s">
        <v>2</v>
      </c>
      <c r="AA5" s="1" t="s">
        <v>3</v>
      </c>
      <c r="AB5" s="1" t="s">
        <v>4</v>
      </c>
      <c r="AC5" s="1" t="s">
        <v>5</v>
      </c>
      <c r="AD5" s="1" t="s">
        <v>6</v>
      </c>
      <c r="AE5" s="1" t="s">
        <v>0</v>
      </c>
      <c r="AF5" s="1" t="s">
        <v>1</v>
      </c>
      <c r="AG5" s="1" t="s">
        <v>2</v>
      </c>
      <c r="AH5" s="56"/>
      <c r="AI5" s="56"/>
      <c r="AJ5" s="56"/>
    </row>
    <row r="6" spans="1:36" ht="20.100000000000001" customHeight="1" x14ac:dyDescent="0.25">
      <c r="A6" s="28">
        <f>Jul!A6+Jul!AI6+Jul!AJ6-Jul!AH6</f>
        <v>-7</v>
      </c>
      <c r="B6" s="27" t="str">
        <f>Jan!B6</f>
        <v>KC Tirkey</v>
      </c>
      <c r="C6" s="2" t="s">
        <v>39</v>
      </c>
      <c r="D6" s="2"/>
      <c r="E6" s="2"/>
      <c r="F6" s="3"/>
      <c r="G6" s="3"/>
      <c r="H6" s="2"/>
      <c r="I6" s="2"/>
      <c r="J6" s="2"/>
      <c r="K6" s="2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/>
      <c r="AD6" s="2"/>
      <c r="AE6" s="2" t="s">
        <v>39</v>
      </c>
      <c r="AF6" s="2"/>
      <c r="AG6" s="2"/>
      <c r="AH6" s="2">
        <f>COUNTIF(C6:AG6, "CO")</f>
        <v>0</v>
      </c>
      <c r="AI6" s="2">
        <f t="shared" ref="AI6:AI15" si="0">COUNTIF(C6:AG6, "E")</f>
        <v>2</v>
      </c>
      <c r="AJ6" s="2">
        <v>1</v>
      </c>
    </row>
    <row r="7" spans="1:36" ht="20.100000000000001" customHeight="1" x14ac:dyDescent="0.25">
      <c r="A7" s="28">
        <f>Jul!A7+Jul!AI7+Jul!AJ7-Jul!AH7</f>
        <v>22</v>
      </c>
      <c r="B7" s="27" t="str">
        <f>Jan!B7</f>
        <v>GN Madhei</v>
      </c>
      <c r="C7" s="2"/>
      <c r="D7" s="2"/>
      <c r="E7" s="2"/>
      <c r="F7" s="3"/>
      <c r="G7" s="3" t="s">
        <v>39</v>
      </c>
      <c r="H7" s="2"/>
      <c r="I7" s="2"/>
      <c r="J7" s="2"/>
      <c r="K7" s="2"/>
      <c r="L7" s="2"/>
      <c r="M7" s="2"/>
      <c r="N7" s="2"/>
      <c r="O7" s="2" t="s">
        <v>39</v>
      </c>
      <c r="P7" s="2"/>
      <c r="Q7" s="2"/>
      <c r="R7" s="2"/>
      <c r="S7" s="2"/>
      <c r="T7" s="3"/>
      <c r="U7" s="3" t="s">
        <v>40</v>
      </c>
      <c r="V7" s="3" t="s">
        <v>40</v>
      </c>
      <c r="W7" s="3" t="s">
        <v>40</v>
      </c>
      <c r="X7" s="3" t="s">
        <v>40</v>
      </c>
      <c r="Y7" s="2"/>
      <c r="Z7" s="2"/>
      <c r="AA7" s="3"/>
      <c r="AB7" s="3"/>
      <c r="AC7" s="2"/>
      <c r="AD7" s="2"/>
      <c r="AE7" s="2"/>
      <c r="AF7" s="2"/>
      <c r="AG7" s="2"/>
      <c r="AH7" s="2">
        <f>COUNTIF(C7:AG7, "CO")</f>
        <v>4</v>
      </c>
      <c r="AI7" s="2">
        <f t="shared" si="0"/>
        <v>2</v>
      </c>
      <c r="AJ7" s="2">
        <v>1</v>
      </c>
    </row>
    <row r="8" spans="1:36" ht="20.100000000000001" customHeight="1" x14ac:dyDescent="0.25">
      <c r="A8" s="28">
        <f>Jul!A8+Jul!AI8+Jul!AJ8-Jul!AH8</f>
        <v>43</v>
      </c>
      <c r="B8" s="27" t="str">
        <f>Jan!B9</f>
        <v>S Lakra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2"/>
      <c r="P8" s="2"/>
      <c r="Q8" s="2"/>
      <c r="R8" s="2"/>
      <c r="S8" s="2"/>
      <c r="T8" s="3"/>
      <c r="U8" s="3"/>
      <c r="V8" s="2"/>
      <c r="W8" s="2"/>
      <c r="X8" s="2"/>
      <c r="Y8" s="2"/>
      <c r="Z8" s="2"/>
      <c r="AA8" s="3"/>
      <c r="AB8" s="3"/>
      <c r="AC8" s="2" t="s">
        <v>40</v>
      </c>
      <c r="AD8" s="2" t="s">
        <v>40</v>
      </c>
      <c r="AE8" s="2"/>
      <c r="AF8" s="2" t="s">
        <v>40</v>
      </c>
      <c r="AG8" s="2" t="s">
        <v>40</v>
      </c>
      <c r="AH8" s="2">
        <f>COUNTIF(C8:AG8, "CO")</f>
        <v>4</v>
      </c>
      <c r="AI8" s="2">
        <f t="shared" si="0"/>
        <v>0</v>
      </c>
      <c r="AJ8" s="2">
        <v>1</v>
      </c>
    </row>
    <row r="9" spans="1:36" ht="20.100000000000001" customHeight="1" x14ac:dyDescent="0.25">
      <c r="A9" s="28">
        <f>Jul!A9+Jul!AI9+Jul!AJ9-Jul!AH9</f>
        <v>43</v>
      </c>
      <c r="B9" s="27" t="str">
        <f>Jan!B10</f>
        <v>SK Maharana</v>
      </c>
      <c r="C9" s="2"/>
      <c r="D9" s="2"/>
      <c r="E9" s="2"/>
      <c r="F9" s="3"/>
      <c r="G9" s="3"/>
      <c r="H9" s="2"/>
      <c r="I9" s="2"/>
      <c r="J9" s="2"/>
      <c r="K9" s="2"/>
      <c r="L9" s="2"/>
      <c r="M9" s="3" t="s">
        <v>40</v>
      </c>
      <c r="N9" s="3" t="s">
        <v>40</v>
      </c>
      <c r="O9" s="2"/>
      <c r="P9" s="2"/>
      <c r="Q9" s="2"/>
      <c r="R9" s="2"/>
      <c r="S9" s="2"/>
      <c r="T9" s="3"/>
      <c r="U9" s="3"/>
      <c r="V9" s="2"/>
      <c r="W9" s="2"/>
      <c r="X9" s="2" t="s">
        <v>40</v>
      </c>
      <c r="Y9" s="2" t="s">
        <v>40</v>
      </c>
      <c r="Z9" s="2" t="s">
        <v>40</v>
      </c>
      <c r="AA9" s="3"/>
      <c r="AB9" s="3"/>
      <c r="AC9" s="2"/>
      <c r="AD9" s="2"/>
      <c r="AE9" s="2" t="s">
        <v>40</v>
      </c>
      <c r="AF9" s="2" t="s">
        <v>39</v>
      </c>
      <c r="AG9" s="2" t="s">
        <v>39</v>
      </c>
      <c r="AH9" s="2">
        <f>COUNTIF(C9:AG9, "CO")</f>
        <v>6</v>
      </c>
      <c r="AI9" s="2">
        <f t="shared" si="0"/>
        <v>2</v>
      </c>
      <c r="AJ9" s="2">
        <v>1</v>
      </c>
    </row>
    <row r="10" spans="1:36" ht="20.100000000000001" customHeight="1" x14ac:dyDescent="0.25">
      <c r="A10" s="28">
        <f>Jul!A10+Jul!AI10+Jul!AJ10-Jul!AH10</f>
        <v>43</v>
      </c>
      <c r="B10" s="27" t="str">
        <f>Jan!B11</f>
        <v>PK Sahoo Sr</v>
      </c>
      <c r="C10" s="2" t="s">
        <v>40</v>
      </c>
      <c r="D10" s="2" t="s">
        <v>40</v>
      </c>
      <c r="E10" s="2" t="s">
        <v>40</v>
      </c>
      <c r="F10" s="2" t="s">
        <v>40</v>
      </c>
      <c r="G10" s="2" t="s">
        <v>40</v>
      </c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>COUNTIF(C10:AG10, "CO")</f>
        <v>5</v>
      </c>
      <c r="AI10" s="2">
        <f t="shared" si="0"/>
        <v>0</v>
      </c>
      <c r="AJ10" s="2">
        <v>1</v>
      </c>
    </row>
    <row r="11" spans="1:36" ht="20.100000000000001" customHeight="1" x14ac:dyDescent="0.25">
      <c r="A11" s="28">
        <f>Jul!A11+Jul!AI11+Jul!AJ11-Jul!AH11</f>
        <v>60</v>
      </c>
      <c r="B11" s="27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 t="s">
        <v>40</v>
      </c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ref="AH11:AH14" si="1">COUNTIF(C11:AG11, "CO")</f>
        <v>1</v>
      </c>
      <c r="AI11" s="2">
        <f t="shared" si="0"/>
        <v>0</v>
      </c>
      <c r="AJ11" s="2">
        <v>1</v>
      </c>
    </row>
    <row r="12" spans="1:36" ht="20.100000000000001" customHeight="1" x14ac:dyDescent="0.25">
      <c r="A12" s="28">
        <f>Jul!A12+Jul!AI12+Jul!AJ12-Jul!AH12</f>
        <v>55</v>
      </c>
      <c r="B12" s="27" t="str">
        <f>Jan!B16</f>
        <v>M Bishi</v>
      </c>
      <c r="C12" s="2"/>
      <c r="D12" s="2"/>
      <c r="E12" s="2"/>
      <c r="F12" s="3"/>
      <c r="G12" s="3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 t="s">
        <v>39</v>
      </c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1</v>
      </c>
      <c r="AJ12" s="2">
        <v>1</v>
      </c>
    </row>
    <row r="13" spans="1:36" ht="20.100000000000001" customHeight="1" x14ac:dyDescent="0.25">
      <c r="A13" s="28">
        <f>Jul!A13+Jul!AI13+Jul!AJ13-Jul!AH13</f>
        <v>24</v>
      </c>
      <c r="B13" s="27" t="str">
        <f>Jan!B17</f>
        <v>S C Behera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0</v>
      </c>
      <c r="AI13" s="2">
        <f t="shared" si="0"/>
        <v>0</v>
      </c>
      <c r="AJ13" s="2">
        <v>1</v>
      </c>
    </row>
    <row r="14" spans="1:36" ht="20.100000000000001" customHeight="1" x14ac:dyDescent="0.25">
      <c r="A14" s="28">
        <f>Jul!A14+Jul!AI14+Jul!AJ14-Jul!AH14</f>
        <v>20</v>
      </c>
      <c r="B14" s="27" t="str">
        <f>Jan!B14</f>
        <v>PK Sahoo Jr</v>
      </c>
      <c r="C14" s="2"/>
      <c r="D14" s="2"/>
      <c r="E14" s="2"/>
      <c r="F14" s="3"/>
      <c r="G14" s="3"/>
      <c r="H14" s="2"/>
      <c r="I14" s="2" t="s">
        <v>39</v>
      </c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 t="s">
        <v>39</v>
      </c>
      <c r="AF14" s="2" t="s">
        <v>39</v>
      </c>
      <c r="AG14" s="2"/>
      <c r="AH14" s="2">
        <f t="shared" si="1"/>
        <v>0</v>
      </c>
      <c r="AI14" s="2">
        <f t="shared" si="0"/>
        <v>3</v>
      </c>
      <c r="AJ14" s="2">
        <v>1</v>
      </c>
    </row>
    <row r="15" spans="1:36" ht="20.100000000000001" customHeight="1" x14ac:dyDescent="0.25">
      <c r="A15" s="28">
        <f>Jul!A15+Jul!AI15+Jul!AJ15-Jul!AH15</f>
        <v>40</v>
      </c>
      <c r="B15" s="27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ref="AH15" si="2">COUNTIF(C15:AG15, "CO")</f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8" spans="2:2" x14ac:dyDescent="0.25">
      <c r="B28" s="9"/>
    </row>
  </sheetData>
  <mergeCells count="7">
    <mergeCell ref="AE1:AH1"/>
    <mergeCell ref="AI4:AI5"/>
    <mergeCell ref="A4:A5"/>
    <mergeCell ref="AJ4:AJ5"/>
    <mergeCell ref="C16:AH16"/>
    <mergeCell ref="B4:B5"/>
    <mergeCell ref="AH4:AH5"/>
  </mergeCells>
  <conditionalFormatting sqref="C6:AG15">
    <cfRule type="containsText" dxfId="291" priority="1" operator="containsText" text="e">
      <formula>NOT(ISERROR(SEARCH("e",C6)))</formula>
    </cfRule>
    <cfRule type="containsText" dxfId="290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zoomScaleNormal="100" workbookViewId="0">
      <selection activeCell="A14" sqref="A14:XFD14"/>
    </sheetView>
  </sheetViews>
  <sheetFormatPr defaultColWidth="11" defaultRowHeight="15.75" x14ac:dyDescent="0.25"/>
  <cols>
    <col min="1" max="1" width="5" customWidth="1"/>
    <col min="2" max="2" width="15" customWidth="1"/>
    <col min="3" max="32" width="4" customWidth="1"/>
  </cols>
  <sheetData>
    <row r="1" spans="1:35" x14ac:dyDescent="0.25">
      <c r="B1" s="6" t="s">
        <v>10</v>
      </c>
      <c r="AE1" s="8"/>
      <c r="AF1" s="57" t="s">
        <v>19</v>
      </c>
      <c r="AG1" s="57"/>
    </row>
    <row r="2" spans="1:35" ht="12" customHeight="1" x14ac:dyDescent="0.25"/>
    <row r="3" spans="1:35" ht="12" customHeight="1" x14ac:dyDescent="0.25"/>
    <row r="4" spans="1:35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55" t="s">
        <v>34</v>
      </c>
      <c r="AH4" s="55" t="s">
        <v>32</v>
      </c>
      <c r="AI4" s="55" t="s">
        <v>33</v>
      </c>
    </row>
    <row r="5" spans="1:35" ht="12" customHeight="1" x14ac:dyDescent="0.25">
      <c r="A5" s="61"/>
      <c r="B5" s="62"/>
      <c r="C5" s="1" t="s">
        <v>3</v>
      </c>
      <c r="D5" s="1" t="s">
        <v>4</v>
      </c>
      <c r="E5" s="1" t="s">
        <v>5</v>
      </c>
      <c r="F5" s="1" t="s">
        <v>6</v>
      </c>
      <c r="G5" s="1" t="s">
        <v>0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0</v>
      </c>
      <c r="O5" s="1" t="s">
        <v>1</v>
      </c>
      <c r="P5" s="1" t="s">
        <v>2</v>
      </c>
      <c r="Q5" s="1" t="s">
        <v>3</v>
      </c>
      <c r="R5" s="1" t="s">
        <v>4</v>
      </c>
      <c r="S5" s="1" t="s">
        <v>5</v>
      </c>
      <c r="T5" s="1" t="s">
        <v>6</v>
      </c>
      <c r="U5" s="1" t="s">
        <v>0</v>
      </c>
      <c r="V5" s="1" t="s">
        <v>1</v>
      </c>
      <c r="W5" s="1" t="s">
        <v>2</v>
      </c>
      <c r="X5" s="1" t="s">
        <v>3</v>
      </c>
      <c r="Y5" s="1" t="s">
        <v>4</v>
      </c>
      <c r="Z5" s="1" t="s">
        <v>5</v>
      </c>
      <c r="AA5" s="1" t="s">
        <v>6</v>
      </c>
      <c r="AB5" s="1" t="s">
        <v>0</v>
      </c>
      <c r="AC5" s="1" t="s">
        <v>1</v>
      </c>
      <c r="AD5" s="1" t="s">
        <v>2</v>
      </c>
      <c r="AE5" s="1" t="s">
        <v>3</v>
      </c>
      <c r="AF5" s="1" t="s">
        <v>4</v>
      </c>
      <c r="AG5" s="56"/>
      <c r="AH5" s="56"/>
      <c r="AI5" s="56"/>
    </row>
    <row r="6" spans="1:35" ht="20.100000000000001" customHeight="1" x14ac:dyDescent="0.25">
      <c r="A6" s="28">
        <f>Aug!A6+Aug!AI6+Aug!AJ6-Aug!AH6</f>
        <v>-4</v>
      </c>
      <c r="B6" s="27" t="str">
        <f>Jan!B6</f>
        <v>KC Tirkey</v>
      </c>
      <c r="C6" s="2" t="s">
        <v>40</v>
      </c>
      <c r="D6" s="2"/>
      <c r="E6" s="2" t="s">
        <v>39</v>
      </c>
      <c r="F6" s="3"/>
      <c r="G6" s="3"/>
      <c r="H6" s="2" t="s">
        <v>39</v>
      </c>
      <c r="I6" s="2"/>
      <c r="J6" s="2"/>
      <c r="K6" s="2"/>
      <c r="L6" s="2" t="s">
        <v>39</v>
      </c>
      <c r="M6" s="3"/>
      <c r="N6" s="3"/>
      <c r="O6" s="2"/>
      <c r="P6" s="2"/>
      <c r="Q6" s="2"/>
      <c r="R6" s="2"/>
      <c r="S6" s="2"/>
      <c r="T6" s="3"/>
      <c r="U6" s="3"/>
      <c r="V6" s="2" t="s">
        <v>47</v>
      </c>
      <c r="W6" s="2" t="s">
        <v>47</v>
      </c>
      <c r="X6" s="2"/>
      <c r="Y6" s="2"/>
      <c r="Z6" s="2"/>
      <c r="AA6" s="3"/>
      <c r="AB6" s="3"/>
      <c r="AC6" s="2"/>
      <c r="AD6" s="2"/>
      <c r="AE6" s="2" t="s">
        <v>47</v>
      </c>
      <c r="AF6" s="2"/>
      <c r="AG6" s="2">
        <f>COUNTIF(B6:AF6, "CO")</f>
        <v>4</v>
      </c>
      <c r="AH6" s="2">
        <f t="shared" ref="AH6:AH15" si="0">COUNTIF(B6:AF6, "E")</f>
        <v>3</v>
      </c>
      <c r="AI6" s="2">
        <v>1</v>
      </c>
    </row>
    <row r="7" spans="1:35" ht="20.100000000000001" customHeight="1" x14ac:dyDescent="0.25">
      <c r="A7" s="28">
        <f>Aug!A7+Aug!AI7+Aug!AJ7-Aug!AH7</f>
        <v>21</v>
      </c>
      <c r="B7" s="27" t="str">
        <f>Jan!B7</f>
        <v>GN Madhei</v>
      </c>
      <c r="C7" s="2" t="s">
        <v>39</v>
      </c>
      <c r="D7" s="2" t="s">
        <v>39</v>
      </c>
      <c r="E7" s="2"/>
      <c r="F7" s="3" t="s">
        <v>39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3"/>
      <c r="V7" s="2"/>
      <c r="W7" s="2"/>
      <c r="X7" s="2" t="s">
        <v>39</v>
      </c>
      <c r="Y7" s="2"/>
      <c r="Z7" s="2" t="s">
        <v>39</v>
      </c>
      <c r="AA7" s="3"/>
      <c r="AB7" s="3"/>
      <c r="AC7" s="2"/>
      <c r="AD7" s="2"/>
      <c r="AE7" s="2" t="s">
        <v>39</v>
      </c>
      <c r="AF7" s="2"/>
      <c r="AG7" s="2">
        <f>COUNTIF(B7:AF7, "CO")</f>
        <v>0</v>
      </c>
      <c r="AH7" s="2">
        <f t="shared" si="0"/>
        <v>6</v>
      </c>
      <c r="AI7" s="2">
        <v>1</v>
      </c>
    </row>
    <row r="8" spans="1:35" ht="20.100000000000001" customHeight="1" x14ac:dyDescent="0.25">
      <c r="A8" s="28">
        <f>Aug!A8+Aug!AI8+Aug!AJ8-Aug!AH8</f>
        <v>40</v>
      </c>
      <c r="B8" s="27" t="str">
        <f>Jan!B9</f>
        <v>S Lakra</v>
      </c>
      <c r="C8" s="2"/>
      <c r="D8" s="2"/>
      <c r="E8" s="2"/>
      <c r="F8" s="3"/>
      <c r="G8" s="3"/>
      <c r="H8" s="2"/>
      <c r="I8" s="2"/>
      <c r="J8" s="2"/>
      <c r="K8" s="2" t="s">
        <v>39</v>
      </c>
      <c r="L8" s="2"/>
      <c r="M8" s="3"/>
      <c r="N8" s="3"/>
      <c r="O8" s="2"/>
      <c r="P8" s="2"/>
      <c r="Q8" s="2"/>
      <c r="R8" s="2"/>
      <c r="S8" s="2"/>
      <c r="T8" s="3" t="s">
        <v>47</v>
      </c>
      <c r="U8" s="3"/>
      <c r="V8" s="2"/>
      <c r="W8" s="2"/>
      <c r="X8" s="2"/>
      <c r="Y8" s="2"/>
      <c r="Z8" s="2"/>
      <c r="AA8" s="3"/>
      <c r="AB8" s="3"/>
      <c r="AC8" s="2"/>
      <c r="AD8" s="2"/>
      <c r="AE8" s="2" t="s">
        <v>39</v>
      </c>
      <c r="AF8" s="2"/>
      <c r="AG8" s="2">
        <f>COUNTIF(B8:AF8, "CO")</f>
        <v>1</v>
      </c>
      <c r="AH8" s="2">
        <f t="shared" si="0"/>
        <v>2</v>
      </c>
      <c r="AI8" s="2">
        <v>1</v>
      </c>
    </row>
    <row r="9" spans="1:35" ht="20.100000000000001" customHeight="1" x14ac:dyDescent="0.25">
      <c r="A9" s="28">
        <f>Aug!A9+Aug!AI9+Aug!AJ9-Aug!AH9</f>
        <v>40</v>
      </c>
      <c r="B9" s="27" t="str">
        <f>Jan!B10</f>
        <v>SK Maharana</v>
      </c>
      <c r="C9" s="2"/>
      <c r="D9" s="2"/>
      <c r="E9" s="2"/>
      <c r="F9" s="3"/>
      <c r="G9" s="3"/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 t="s">
        <v>39</v>
      </c>
      <c r="AE9" s="2"/>
      <c r="AF9" s="2" t="s">
        <v>39</v>
      </c>
      <c r="AG9" s="2">
        <f>COUNTIF(B9:AF9, "CO")</f>
        <v>0</v>
      </c>
      <c r="AH9" s="2">
        <f t="shared" si="0"/>
        <v>2</v>
      </c>
      <c r="AI9" s="2">
        <v>1</v>
      </c>
    </row>
    <row r="10" spans="1:35" ht="20.100000000000001" customHeight="1" x14ac:dyDescent="0.25">
      <c r="A10" s="28">
        <f>Aug!A10+Aug!AI10+Aug!AJ10-Aug!AH10</f>
        <v>39</v>
      </c>
      <c r="B10" s="27" t="str">
        <f>Jan!B11</f>
        <v>PK Sahoo Sr</v>
      </c>
      <c r="C10" s="2" t="s">
        <v>40</v>
      </c>
      <c r="D10" s="2" t="s">
        <v>40</v>
      </c>
      <c r="E10" s="2"/>
      <c r="F10" s="2"/>
      <c r="G10" s="2" t="s">
        <v>39</v>
      </c>
      <c r="H10" s="2"/>
      <c r="I10" s="2" t="s">
        <v>39</v>
      </c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/>
      <c r="V10" s="2" t="s">
        <v>39</v>
      </c>
      <c r="W10" s="2" t="s">
        <v>39</v>
      </c>
      <c r="X10" s="2"/>
      <c r="Y10" s="2"/>
      <c r="Z10" s="2"/>
      <c r="AA10" s="3"/>
      <c r="AB10" s="3"/>
      <c r="AC10" s="2"/>
      <c r="AD10" s="2"/>
      <c r="AE10" s="2"/>
      <c r="AF10" s="2" t="s">
        <v>39</v>
      </c>
      <c r="AG10" s="2">
        <f>COUNTIF(B10:AF10, "CO")</f>
        <v>2</v>
      </c>
      <c r="AH10" s="2">
        <f t="shared" si="0"/>
        <v>5</v>
      </c>
      <c r="AI10" s="2">
        <v>1</v>
      </c>
    </row>
    <row r="11" spans="1:35" ht="20.100000000000001" customHeight="1" x14ac:dyDescent="0.25">
      <c r="A11" s="28">
        <f>Aug!A11+Aug!AI11+Aug!AJ11-Aug!AH11</f>
        <v>60</v>
      </c>
      <c r="B11" s="27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>
        <f t="shared" ref="AG11:AG14" si="1">COUNTIF(B11:AF11, "CO")</f>
        <v>0</v>
      </c>
      <c r="AH11" s="2">
        <f t="shared" si="0"/>
        <v>0</v>
      </c>
      <c r="AI11" s="2">
        <v>1</v>
      </c>
    </row>
    <row r="12" spans="1:35" ht="20.100000000000001" customHeight="1" x14ac:dyDescent="0.25">
      <c r="A12" s="28">
        <f>Aug!A12+Aug!AI12+Aug!AJ12-Aug!AH12</f>
        <v>57</v>
      </c>
      <c r="B12" s="27" t="str">
        <f>Jan!B16</f>
        <v>M Bishi</v>
      </c>
      <c r="C12" s="2"/>
      <c r="D12" s="2"/>
      <c r="E12" s="2"/>
      <c r="F12" s="3"/>
      <c r="G12" s="3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>
        <f t="shared" si="1"/>
        <v>0</v>
      </c>
      <c r="AH12" s="2">
        <f t="shared" si="0"/>
        <v>0</v>
      </c>
      <c r="AI12" s="2">
        <v>1</v>
      </c>
    </row>
    <row r="13" spans="1:35" ht="20.100000000000001" customHeight="1" x14ac:dyDescent="0.25">
      <c r="A13" s="28">
        <f>Aug!A13+Aug!AI13+Aug!AJ13-Aug!AH13</f>
        <v>25</v>
      </c>
      <c r="B13" s="27" t="str">
        <f>Jan!B17</f>
        <v>S C Behera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 t="s">
        <v>47</v>
      </c>
      <c r="AB13" s="3" t="s">
        <v>47</v>
      </c>
      <c r="AC13" s="2"/>
      <c r="AD13" s="2"/>
      <c r="AE13" s="2"/>
      <c r="AF13" s="2"/>
      <c r="AG13" s="2">
        <f t="shared" si="1"/>
        <v>2</v>
      </c>
      <c r="AH13" s="2">
        <f t="shared" si="0"/>
        <v>0</v>
      </c>
      <c r="AI13" s="2">
        <v>1</v>
      </c>
    </row>
    <row r="14" spans="1:35" ht="20.100000000000001" customHeight="1" x14ac:dyDescent="0.25">
      <c r="A14" s="28">
        <f>Aug!A14+Aug!AI14+Aug!AJ14-Aug!AH14</f>
        <v>24</v>
      </c>
      <c r="B14" s="27" t="str">
        <f>Jan!B14</f>
        <v>PK Sahoo Jr</v>
      </c>
      <c r="C14" s="2"/>
      <c r="D14" s="2" t="s">
        <v>40</v>
      </c>
      <c r="E14" s="2" t="s">
        <v>40</v>
      </c>
      <c r="F14" s="2" t="s">
        <v>40</v>
      </c>
      <c r="G14" s="2" t="s">
        <v>40</v>
      </c>
      <c r="H14" s="2" t="s">
        <v>40</v>
      </c>
      <c r="I14" s="2"/>
      <c r="J14" s="2"/>
      <c r="K14" s="2"/>
      <c r="L14" s="2" t="s">
        <v>40</v>
      </c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 t="s">
        <v>47</v>
      </c>
      <c r="AG14" s="2">
        <f t="shared" si="1"/>
        <v>7</v>
      </c>
      <c r="AH14" s="2">
        <f t="shared" si="0"/>
        <v>0</v>
      </c>
      <c r="AI14" s="2">
        <v>1</v>
      </c>
    </row>
    <row r="15" spans="1:35" ht="20.100000000000001" customHeight="1" x14ac:dyDescent="0.25">
      <c r="A15" s="28">
        <f>Aug!A15+Aug!AI15+Aug!AJ15-Aug!AH15</f>
        <v>41</v>
      </c>
      <c r="B15" s="27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>
        <f t="shared" ref="AG15" si="2">COUNTIF(B15:AF15, "CO")</f>
        <v>0</v>
      </c>
      <c r="AH15" s="2">
        <f t="shared" si="0"/>
        <v>0</v>
      </c>
      <c r="AI15" s="2">
        <v>1</v>
      </c>
    </row>
    <row r="16" spans="1:35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8" spans="2:2" x14ac:dyDescent="0.25">
      <c r="B28" s="9"/>
    </row>
  </sheetData>
  <mergeCells count="7">
    <mergeCell ref="C16:AH16"/>
    <mergeCell ref="AH4:AH5"/>
    <mergeCell ref="A4:A5"/>
    <mergeCell ref="AI4:AI5"/>
    <mergeCell ref="AF1:AG1"/>
    <mergeCell ref="B4:B5"/>
    <mergeCell ref="AG4:AG5"/>
  </mergeCells>
  <conditionalFormatting sqref="C6:AF15">
    <cfRule type="containsText" dxfId="289" priority="1" operator="containsText" text="e">
      <formula>NOT(ISERROR(SEARCH("e",C6)))</formula>
    </cfRule>
    <cfRule type="containsText" dxfId="288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14" sqref="A14:XFD14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20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1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1" t="s">
        <v>5</v>
      </c>
      <c r="D5" s="1" t="s">
        <v>6</v>
      </c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  <c r="L5" s="1" t="s">
        <v>0</v>
      </c>
      <c r="M5" s="1" t="s">
        <v>1</v>
      </c>
      <c r="N5" s="1" t="s">
        <v>2</v>
      </c>
      <c r="O5" s="1" t="s">
        <v>3</v>
      </c>
      <c r="P5" s="1" t="s">
        <v>4</v>
      </c>
      <c r="Q5" s="1" t="s">
        <v>5</v>
      </c>
      <c r="R5" s="1" t="s">
        <v>6</v>
      </c>
      <c r="S5" s="1" t="s">
        <v>0</v>
      </c>
      <c r="T5" s="1" t="s">
        <v>1</v>
      </c>
      <c r="U5" s="1" t="s">
        <v>2</v>
      </c>
      <c r="V5" s="1" t="s">
        <v>3</v>
      </c>
      <c r="W5" s="1" t="s">
        <v>4</v>
      </c>
      <c r="X5" s="1" t="s">
        <v>5</v>
      </c>
      <c r="Y5" s="1" t="s">
        <v>6</v>
      </c>
      <c r="Z5" s="1" t="s">
        <v>0</v>
      </c>
      <c r="AA5" s="1" t="s">
        <v>1</v>
      </c>
      <c r="AB5" s="1" t="s">
        <v>2</v>
      </c>
      <c r="AC5" s="1" t="s">
        <v>3</v>
      </c>
      <c r="AD5" s="1" t="s">
        <v>4</v>
      </c>
      <c r="AE5" s="1" t="s">
        <v>5</v>
      </c>
      <c r="AF5" s="1" t="s">
        <v>6</v>
      </c>
      <c r="AG5" s="1" t="s">
        <v>0</v>
      </c>
      <c r="AH5" s="56"/>
      <c r="AI5" s="56"/>
      <c r="AJ5" s="56"/>
    </row>
    <row r="6" spans="1:36" ht="20.100000000000001" customHeight="1" x14ac:dyDescent="0.25">
      <c r="A6" s="28">
        <f>Sep!A6+Sep!AI6+Sep!AH6-Sep!AG6</f>
        <v>-4</v>
      </c>
      <c r="B6" s="27" t="str">
        <f>Jan!B6</f>
        <v>KC Tirkey</v>
      </c>
      <c r="C6" s="2"/>
      <c r="D6" s="2"/>
      <c r="E6" s="2"/>
      <c r="F6" s="3"/>
      <c r="G6" s="3"/>
      <c r="H6" s="2"/>
      <c r="I6" s="2"/>
      <c r="J6" s="2"/>
      <c r="K6" s="2"/>
      <c r="L6" s="2"/>
      <c r="M6" s="3"/>
      <c r="N6" s="3"/>
      <c r="O6" s="2"/>
      <c r="P6" s="2"/>
      <c r="Q6" s="2" t="s">
        <v>39</v>
      </c>
      <c r="R6" s="2"/>
      <c r="S6" s="2"/>
      <c r="T6" s="3"/>
      <c r="U6" s="3"/>
      <c r="V6" s="2" t="s">
        <v>39</v>
      </c>
      <c r="W6" s="2"/>
      <c r="X6" s="2"/>
      <c r="Y6" s="2"/>
      <c r="Z6" s="2"/>
      <c r="AA6" s="3" t="s">
        <v>39</v>
      </c>
      <c r="AB6" s="3" t="s">
        <v>39</v>
      </c>
      <c r="AC6" s="2"/>
      <c r="AD6" s="3" t="s">
        <v>39</v>
      </c>
      <c r="AE6" s="2"/>
      <c r="AF6" s="2"/>
      <c r="AG6" s="2"/>
      <c r="AH6" s="2">
        <f>COUNTIF(C6:AG6, "CO")</f>
        <v>0</v>
      </c>
      <c r="AI6" s="2">
        <f t="shared" ref="AI6:AI15" si="0">COUNTIF(C6:AG6, "E")</f>
        <v>5</v>
      </c>
      <c r="AJ6" s="2">
        <v>1</v>
      </c>
    </row>
    <row r="7" spans="1:36" ht="20.100000000000001" customHeight="1" x14ac:dyDescent="0.25">
      <c r="A7" s="28">
        <f>Sep!A7+Sep!AI7+Sep!AH7-Sep!AG7</f>
        <v>28</v>
      </c>
      <c r="B7" s="27" t="str">
        <f>Jan!B7</f>
        <v>GN Madhei</v>
      </c>
      <c r="C7" s="2"/>
      <c r="D7" s="2"/>
      <c r="E7" s="2"/>
      <c r="F7" s="3"/>
      <c r="G7" s="3"/>
      <c r="H7" s="2"/>
      <c r="I7" s="2"/>
      <c r="J7" s="2"/>
      <c r="K7" s="2"/>
      <c r="L7" s="2"/>
      <c r="M7" s="2"/>
      <c r="N7" s="2" t="s">
        <v>39</v>
      </c>
      <c r="O7" s="2"/>
      <c r="P7" s="2"/>
      <c r="Q7" s="2" t="s">
        <v>39</v>
      </c>
      <c r="R7" s="2"/>
      <c r="S7" s="2"/>
      <c r="T7" s="3"/>
      <c r="U7" s="3"/>
      <c r="V7" s="2" t="s">
        <v>39</v>
      </c>
      <c r="W7" s="2" t="s">
        <v>39</v>
      </c>
      <c r="X7" s="2" t="s">
        <v>39</v>
      </c>
      <c r="Y7" s="2"/>
      <c r="Z7" s="2"/>
      <c r="AA7" s="3"/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s="3" t="s">
        <v>47</v>
      </c>
      <c r="AH7" s="2">
        <f>COUNTIF(C7:AG7, "CO")</f>
        <v>6</v>
      </c>
      <c r="AI7" s="2">
        <f t="shared" si="0"/>
        <v>5</v>
      </c>
      <c r="AJ7" s="2">
        <v>1</v>
      </c>
    </row>
    <row r="8" spans="1:36" ht="20.100000000000001" customHeight="1" x14ac:dyDescent="0.25">
      <c r="A8" s="28">
        <f>Sep!A8+Sep!AI8+Sep!AH8-Sep!AG8</f>
        <v>42</v>
      </c>
      <c r="B8" s="27" t="str">
        <f>Jan!B9</f>
        <v>S Lakra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2" t="s">
        <v>47</v>
      </c>
      <c r="P8" s="2" t="s">
        <v>47</v>
      </c>
      <c r="Q8" s="2"/>
      <c r="R8" s="2"/>
      <c r="S8" s="2"/>
      <c r="T8" s="3"/>
      <c r="U8" s="3"/>
      <c r="V8" s="2"/>
      <c r="W8" s="2"/>
      <c r="X8" s="2" t="s">
        <v>39</v>
      </c>
      <c r="Y8" s="2"/>
      <c r="Z8" s="2"/>
      <c r="AA8" s="3"/>
      <c r="AB8" s="3"/>
      <c r="AC8" s="2" t="s">
        <v>39</v>
      </c>
      <c r="AD8" s="2"/>
      <c r="AE8" s="2"/>
      <c r="AF8" s="2"/>
      <c r="AG8" s="2"/>
      <c r="AH8" s="2">
        <f>COUNTIF(C8:AG8, "CO")</f>
        <v>2</v>
      </c>
      <c r="AI8" s="2">
        <f t="shared" si="0"/>
        <v>2</v>
      </c>
      <c r="AJ8" s="2">
        <v>1</v>
      </c>
    </row>
    <row r="9" spans="1:36" ht="20.100000000000001" customHeight="1" x14ac:dyDescent="0.25">
      <c r="A9" s="28">
        <f>Sep!A9+Sep!AI9+Sep!AH9-Sep!AG9</f>
        <v>43</v>
      </c>
      <c r="B9" s="27" t="str">
        <f>Jan!B10</f>
        <v>SK Maharana</v>
      </c>
      <c r="C9" s="2"/>
      <c r="D9" s="2"/>
      <c r="E9" s="2"/>
      <c r="F9" s="3"/>
      <c r="G9" s="3"/>
      <c r="H9" s="2"/>
      <c r="I9" s="2"/>
      <c r="J9" s="2"/>
      <c r="K9" s="2" t="s">
        <v>47</v>
      </c>
      <c r="L9" s="2" t="s">
        <v>47</v>
      </c>
      <c r="M9" s="3"/>
      <c r="N9" s="3"/>
      <c r="O9" s="2" t="s">
        <v>39</v>
      </c>
      <c r="P9" s="2"/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 t="s">
        <v>47</v>
      </c>
      <c r="AC9" s="2"/>
      <c r="AD9" s="2"/>
      <c r="AE9" s="2"/>
      <c r="AF9" s="2" t="s">
        <v>47</v>
      </c>
      <c r="AG9" s="2" t="s">
        <v>47</v>
      </c>
      <c r="AH9" s="2">
        <f>COUNTIF(C9:AG9, "CO")</f>
        <v>5</v>
      </c>
      <c r="AI9" s="2">
        <f t="shared" si="0"/>
        <v>1</v>
      </c>
      <c r="AJ9" s="2">
        <v>1</v>
      </c>
    </row>
    <row r="10" spans="1:36" ht="20.100000000000001" customHeight="1" x14ac:dyDescent="0.25">
      <c r="A10" s="28">
        <f>Sep!A10+Sep!AI10+Sep!AH10-Sep!AG10</f>
        <v>43</v>
      </c>
      <c r="B10" s="27" t="str">
        <f>Jan!B11</f>
        <v>PK Sahoo Sr</v>
      </c>
      <c r="C10" s="2"/>
      <c r="D10" s="2"/>
      <c r="E10" s="2"/>
      <c r="F10" s="2"/>
      <c r="G10" s="2"/>
      <c r="H10" s="2"/>
      <c r="I10" s="2"/>
      <c r="J10" s="2"/>
      <c r="K10" s="2"/>
      <c r="L10" s="2" t="s">
        <v>39</v>
      </c>
      <c r="M10" s="3"/>
      <c r="N10" s="3"/>
      <c r="O10" s="2" t="s">
        <v>47</v>
      </c>
      <c r="P10" s="2" t="s">
        <v>47</v>
      </c>
      <c r="Q10" s="2"/>
      <c r="R10" s="2"/>
      <c r="S10" s="2"/>
      <c r="T10" s="3"/>
      <c r="U10" s="3"/>
      <c r="V10" s="2" t="s">
        <v>47</v>
      </c>
      <c r="W10" s="2" t="s">
        <v>47</v>
      </c>
      <c r="X10" s="2"/>
      <c r="Y10" s="2"/>
      <c r="Z10" s="2"/>
      <c r="AA10" s="3"/>
      <c r="AB10" s="3" t="s">
        <v>39</v>
      </c>
      <c r="AC10" s="2" t="s">
        <v>39</v>
      </c>
      <c r="AD10" s="2"/>
      <c r="AE10" s="2" t="s">
        <v>39</v>
      </c>
      <c r="AF10" s="2"/>
      <c r="AG10" s="2" t="s">
        <v>39</v>
      </c>
      <c r="AH10" s="2">
        <f>COUNTIF(C10:AG10, "CO")</f>
        <v>4</v>
      </c>
      <c r="AI10" s="2">
        <f t="shared" si="0"/>
        <v>5</v>
      </c>
      <c r="AJ10" s="2">
        <v>1</v>
      </c>
    </row>
    <row r="11" spans="1:36" ht="20.100000000000001" customHeight="1" x14ac:dyDescent="0.25">
      <c r="A11" s="28">
        <f>Sep!A11+Sep!AI11+Sep!AH11-Sep!AG11</f>
        <v>61</v>
      </c>
      <c r="B11" s="27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ref="AH11:AH14" si="1">COUNTIF(C11:AG11, "CO")</f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28">
        <f>Sep!A12+Sep!AI12+Sep!AH12-Sep!AG12</f>
        <v>58</v>
      </c>
      <c r="B12" s="27" t="str">
        <f>Jan!B16</f>
        <v>M Bishi</v>
      </c>
      <c r="C12" s="2"/>
      <c r="D12" s="2"/>
      <c r="E12" s="2"/>
      <c r="F12" s="3"/>
      <c r="G12" s="3"/>
      <c r="H12" s="2"/>
      <c r="I12" s="2"/>
      <c r="J12" s="2"/>
      <c r="K12" s="2"/>
      <c r="L12" s="2"/>
      <c r="M12" s="3"/>
      <c r="N12" s="3"/>
      <c r="O12" s="2"/>
      <c r="P12" s="2" t="s">
        <v>39</v>
      </c>
      <c r="Q12" s="2"/>
      <c r="R12" s="2"/>
      <c r="S12" s="2"/>
      <c r="T12" s="3"/>
      <c r="U12" s="3"/>
      <c r="V12" s="2"/>
      <c r="W12" s="2" t="s">
        <v>47</v>
      </c>
      <c r="X12" s="2" t="s">
        <v>47</v>
      </c>
      <c r="Y12" s="2" t="s">
        <v>47</v>
      </c>
      <c r="Z12" s="2"/>
      <c r="AA12" s="3" t="s">
        <v>47</v>
      </c>
      <c r="AB12" s="3"/>
      <c r="AC12" s="2" t="s">
        <v>47</v>
      </c>
      <c r="AD12" s="2"/>
      <c r="AE12" s="2" t="s">
        <v>47</v>
      </c>
      <c r="AF12" s="2"/>
      <c r="AG12" s="2"/>
      <c r="AH12" s="2">
        <f t="shared" si="1"/>
        <v>6</v>
      </c>
      <c r="AI12" s="2">
        <f t="shared" si="0"/>
        <v>1</v>
      </c>
      <c r="AJ12" s="2">
        <v>1</v>
      </c>
    </row>
    <row r="13" spans="1:36" ht="20.100000000000001" customHeight="1" x14ac:dyDescent="0.25">
      <c r="A13" s="28">
        <f>Sep!A13+Sep!AI13+Sep!AH13-Sep!AG13</f>
        <v>24</v>
      </c>
      <c r="B13" s="27" t="str">
        <f>Jan!B17</f>
        <v>S C Behera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 t="s">
        <v>47</v>
      </c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1</v>
      </c>
      <c r="AI13" s="2">
        <f t="shared" si="0"/>
        <v>0</v>
      </c>
      <c r="AJ13" s="2">
        <v>1</v>
      </c>
    </row>
    <row r="14" spans="1:36" ht="20.100000000000001" customHeight="1" x14ac:dyDescent="0.25">
      <c r="A14" s="28">
        <f>Sep!A14+Sep!AI14+Sep!AH14-Sep!AG14</f>
        <v>18</v>
      </c>
      <c r="B14" s="27" t="str">
        <f>Jan!B14</f>
        <v>PK Sahoo Jr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3"/>
      <c r="O14" s="2"/>
      <c r="P14" s="2" t="s">
        <v>39</v>
      </c>
      <c r="Q14" s="2" t="s">
        <v>47</v>
      </c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 t="s">
        <v>39</v>
      </c>
      <c r="AG14" s="2" t="s">
        <v>39</v>
      </c>
      <c r="AH14" s="2">
        <f t="shared" si="1"/>
        <v>1</v>
      </c>
      <c r="AI14" s="2">
        <f t="shared" si="0"/>
        <v>3</v>
      </c>
      <c r="AJ14" s="2">
        <v>1</v>
      </c>
    </row>
    <row r="15" spans="1:36" ht="20.100000000000001" customHeight="1" x14ac:dyDescent="0.25">
      <c r="A15" s="28">
        <f>Sep!A15+Sep!AI15+Sep!AH15-Sep!AG15</f>
        <v>42</v>
      </c>
      <c r="B15" s="27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ref="AH15" si="2">COUNTIF(C15:AG15, "CO")</f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4:A5"/>
    <mergeCell ref="AJ4:AJ5"/>
    <mergeCell ref="AE1:AH1"/>
    <mergeCell ref="C16:AH16"/>
    <mergeCell ref="AF21:AF23"/>
    <mergeCell ref="B4:B5"/>
    <mergeCell ref="AH4:AH5"/>
    <mergeCell ref="AI4:AI5"/>
  </mergeCells>
  <conditionalFormatting sqref="C6:AG15">
    <cfRule type="containsText" dxfId="287" priority="1" operator="containsText" text="e">
      <formula>NOT(ISERROR(SEARCH("e",C6)))</formula>
    </cfRule>
    <cfRule type="containsText" dxfId="286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zoomScaleNormal="100" workbookViewId="0">
      <selection activeCell="A14" sqref="A14:XFD14"/>
    </sheetView>
  </sheetViews>
  <sheetFormatPr defaultColWidth="11" defaultRowHeight="15.75" x14ac:dyDescent="0.25"/>
  <cols>
    <col min="1" max="1" width="5" customWidth="1"/>
    <col min="2" max="2" width="15" customWidth="1"/>
    <col min="3" max="32" width="4" customWidth="1"/>
  </cols>
  <sheetData>
    <row r="1" spans="1:35" x14ac:dyDescent="0.25">
      <c r="B1" s="6" t="s">
        <v>10</v>
      </c>
      <c r="C1" s="6"/>
      <c r="AE1" s="57" t="s">
        <v>21</v>
      </c>
      <c r="AF1" s="57"/>
      <c r="AG1" s="57"/>
      <c r="AH1" s="10"/>
    </row>
    <row r="2" spans="1:35" ht="12" customHeight="1" x14ac:dyDescent="0.25"/>
    <row r="3" spans="1:35" ht="12" customHeight="1" x14ac:dyDescent="0.25"/>
    <row r="4" spans="1:35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55" t="s">
        <v>34</v>
      </c>
      <c r="AH4" s="55" t="s">
        <v>32</v>
      </c>
      <c r="AI4" s="55" t="s">
        <v>33</v>
      </c>
    </row>
    <row r="5" spans="1:35" ht="12" customHeight="1" x14ac:dyDescent="0.25">
      <c r="A5" s="61"/>
      <c r="B5" s="62"/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0</v>
      </c>
      <c r="J5" s="1" t="s">
        <v>1</v>
      </c>
      <c r="K5" s="1" t="s">
        <v>2</v>
      </c>
      <c r="L5" s="1" t="s">
        <v>3</v>
      </c>
      <c r="M5" s="1" t="s">
        <v>4</v>
      </c>
      <c r="N5" s="1" t="s">
        <v>5</v>
      </c>
      <c r="O5" s="1" t="s">
        <v>6</v>
      </c>
      <c r="P5" s="1" t="s">
        <v>0</v>
      </c>
      <c r="Q5" s="1" t="s">
        <v>1</v>
      </c>
      <c r="R5" s="1" t="s">
        <v>2</v>
      </c>
      <c r="S5" s="1" t="s">
        <v>3</v>
      </c>
      <c r="T5" s="1" t="s">
        <v>4</v>
      </c>
      <c r="U5" s="1" t="s">
        <v>5</v>
      </c>
      <c r="V5" s="1" t="s">
        <v>6</v>
      </c>
      <c r="W5" s="1" t="s">
        <v>0</v>
      </c>
      <c r="X5" s="1" t="s">
        <v>1</v>
      </c>
      <c r="Y5" s="1" t="s">
        <v>2</v>
      </c>
      <c r="Z5" s="1" t="s">
        <v>3</v>
      </c>
      <c r="AA5" s="1" t="s">
        <v>4</v>
      </c>
      <c r="AB5" s="1" t="s">
        <v>5</v>
      </c>
      <c r="AC5" s="1" t="s">
        <v>6</v>
      </c>
      <c r="AD5" s="1" t="s">
        <v>0</v>
      </c>
      <c r="AE5" s="1" t="s">
        <v>1</v>
      </c>
      <c r="AF5" s="1" t="s">
        <v>2</v>
      </c>
      <c r="AG5" s="56"/>
      <c r="AH5" s="56"/>
      <c r="AI5" s="56"/>
    </row>
    <row r="6" spans="1:35" ht="20.100000000000001" customHeight="1" x14ac:dyDescent="0.25">
      <c r="A6">
        <f>Oct!A6+Oct!AI6+Oct!AJ6-Oct!AH6</f>
        <v>2</v>
      </c>
      <c r="B6" s="29" t="str">
        <f>Jan!B6</f>
        <v>KC Tirkey</v>
      </c>
      <c r="C6" s="2"/>
      <c r="D6" s="2"/>
      <c r="E6" s="2" t="s">
        <v>39</v>
      </c>
      <c r="F6" s="3"/>
      <c r="G6" s="3" t="s">
        <v>39</v>
      </c>
      <c r="H6" s="3" t="s">
        <v>39</v>
      </c>
      <c r="I6" s="2"/>
      <c r="J6" s="2"/>
      <c r="K6" s="2"/>
      <c r="L6" s="2"/>
      <c r="M6" s="3"/>
      <c r="N6" s="3" t="s">
        <v>47</v>
      </c>
      <c r="O6" s="2" t="s">
        <v>47</v>
      </c>
      <c r="P6" s="2"/>
      <c r="Q6" s="2"/>
      <c r="R6" s="2"/>
      <c r="S6" s="2"/>
      <c r="T6" s="3"/>
      <c r="U6" s="3"/>
      <c r="V6" s="2"/>
      <c r="W6" s="2"/>
      <c r="X6" s="2"/>
      <c r="Y6" s="2" t="s">
        <v>39</v>
      </c>
      <c r="Z6" s="2" t="s">
        <v>39</v>
      </c>
      <c r="AA6" s="3"/>
      <c r="AB6" s="3"/>
      <c r="AC6" s="2"/>
      <c r="AD6" s="2"/>
      <c r="AE6" s="2"/>
      <c r="AF6" s="2"/>
      <c r="AG6" s="2">
        <f>COUNTIF(B6:AF6, "CO")</f>
        <v>2</v>
      </c>
      <c r="AH6" s="2">
        <f t="shared" ref="AH6:AH15" si="0">COUNTIF(B6:AF6, "E")</f>
        <v>5</v>
      </c>
      <c r="AI6" s="2">
        <v>1</v>
      </c>
    </row>
    <row r="7" spans="1:35" ht="20.100000000000001" customHeight="1" x14ac:dyDescent="0.25">
      <c r="A7">
        <f>Oct!A7+Oct!AI7+Oct!AJ7-Oct!AH7</f>
        <v>28</v>
      </c>
      <c r="B7" s="29" t="str">
        <f>Jan!B7</f>
        <v>GN Madhei</v>
      </c>
      <c r="D7" s="2"/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/>
      <c r="K7" s="2"/>
      <c r="L7" s="2"/>
      <c r="M7" s="2"/>
      <c r="N7" s="2"/>
      <c r="O7" s="2" t="s">
        <v>39</v>
      </c>
      <c r="P7" s="2"/>
      <c r="Q7" s="2"/>
      <c r="R7" s="2" t="s">
        <v>39</v>
      </c>
      <c r="S7" s="2"/>
      <c r="T7" s="3" t="s">
        <v>40</v>
      </c>
      <c r="U7" s="3"/>
      <c r="V7" s="2"/>
      <c r="W7" s="2" t="s">
        <v>39</v>
      </c>
      <c r="X7" s="2" t="s">
        <v>40</v>
      </c>
      <c r="Y7" s="2" t="s">
        <v>40</v>
      </c>
      <c r="Z7" s="2"/>
      <c r="AA7" s="3"/>
      <c r="AB7" s="3"/>
      <c r="AC7" s="2"/>
      <c r="AD7" s="2"/>
      <c r="AE7" s="2"/>
      <c r="AF7" s="2"/>
      <c r="AG7" s="2">
        <f>COUNTIF(B7:AF7, "CO")</f>
        <v>8</v>
      </c>
      <c r="AH7" s="2">
        <f t="shared" si="0"/>
        <v>3</v>
      </c>
      <c r="AI7" s="2">
        <v>1</v>
      </c>
    </row>
    <row r="8" spans="1:35" ht="20.100000000000001" customHeight="1" x14ac:dyDescent="0.25">
      <c r="A8">
        <f>Oct!A8+Oct!AI8+Oct!AJ8-Oct!AH8</f>
        <v>43</v>
      </c>
      <c r="B8" s="29" t="str">
        <f>Jan!B9</f>
        <v>S Lakra</v>
      </c>
      <c r="C8" s="2"/>
      <c r="D8" s="2" t="s">
        <v>39</v>
      </c>
      <c r="E8" s="2"/>
      <c r="F8" s="3" t="s">
        <v>39</v>
      </c>
      <c r="G8" s="3"/>
      <c r="H8" s="2"/>
      <c r="I8" s="2"/>
      <c r="J8" s="2"/>
      <c r="K8" s="2"/>
      <c r="L8" s="2" t="s">
        <v>39</v>
      </c>
      <c r="M8" s="3"/>
      <c r="N8" s="3"/>
      <c r="O8" s="2"/>
      <c r="P8" s="2"/>
      <c r="Q8" s="2"/>
      <c r="R8" s="2"/>
      <c r="S8" s="2"/>
      <c r="T8" s="3"/>
      <c r="U8" s="3" t="s">
        <v>39</v>
      </c>
      <c r="V8" s="2"/>
      <c r="W8" s="2"/>
      <c r="X8" s="2"/>
      <c r="Y8" s="2"/>
      <c r="Z8" s="2"/>
      <c r="AA8" s="3" t="s">
        <v>39</v>
      </c>
      <c r="AB8" s="3"/>
      <c r="AC8" s="2"/>
      <c r="AD8" s="2"/>
      <c r="AE8" s="2"/>
      <c r="AF8" s="2"/>
      <c r="AG8" s="2">
        <f>COUNTIF(B8:AF8, "CO")</f>
        <v>0</v>
      </c>
      <c r="AH8" s="2">
        <f t="shared" si="0"/>
        <v>5</v>
      </c>
      <c r="AI8" s="2">
        <v>1</v>
      </c>
    </row>
    <row r="9" spans="1:35" ht="20.100000000000001" customHeight="1" x14ac:dyDescent="0.25">
      <c r="A9">
        <f>Oct!A9+Oct!AI9+Oct!AJ9-Oct!AH9</f>
        <v>40</v>
      </c>
      <c r="B9" s="29" t="str">
        <f>Jan!B10</f>
        <v>SK Maharana</v>
      </c>
      <c r="C9" s="2"/>
      <c r="D9" s="2" t="s">
        <v>39</v>
      </c>
      <c r="E9" s="2"/>
      <c r="F9" s="3"/>
      <c r="G9" s="3"/>
      <c r="H9" s="2"/>
      <c r="I9" s="2"/>
      <c r="J9" s="2"/>
      <c r="K9" s="2" t="s">
        <v>39</v>
      </c>
      <c r="L9" s="2"/>
      <c r="M9" s="3" t="s">
        <v>39</v>
      </c>
      <c r="N9" s="3"/>
      <c r="O9" s="2"/>
      <c r="P9" s="2" t="s">
        <v>47</v>
      </c>
      <c r="Q9" s="2" t="s">
        <v>47</v>
      </c>
      <c r="R9" s="2" t="s">
        <v>40</v>
      </c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>
        <f>COUNTIF(B9:AF9, "CO")</f>
        <v>3</v>
      </c>
      <c r="AH9" s="2">
        <f t="shared" si="0"/>
        <v>3</v>
      </c>
      <c r="AI9" s="2">
        <v>1</v>
      </c>
    </row>
    <row r="10" spans="1:35" ht="20.100000000000001" customHeight="1" x14ac:dyDescent="0.25">
      <c r="A10">
        <f>Oct!A10+Oct!AI10+Oct!AJ10-Oct!AH10</f>
        <v>45</v>
      </c>
      <c r="B10" s="29" t="str">
        <f>Jan!B11</f>
        <v>PK Sahoo Sr</v>
      </c>
      <c r="C10" s="2"/>
      <c r="D10" s="2"/>
      <c r="E10" s="2"/>
      <c r="F10" s="2"/>
      <c r="G10" s="2"/>
      <c r="H10" s="2"/>
      <c r="I10" s="2"/>
      <c r="J10" s="2"/>
      <c r="K10" s="2"/>
      <c r="L10" s="2" t="s">
        <v>39</v>
      </c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>
        <f>COUNTIF(B10:AF10, "CO")</f>
        <v>0</v>
      </c>
      <c r="AH10" s="2">
        <f t="shared" si="0"/>
        <v>1</v>
      </c>
      <c r="AI10" s="2">
        <v>1</v>
      </c>
    </row>
    <row r="11" spans="1:35" ht="20.100000000000001" customHeight="1" x14ac:dyDescent="0.25">
      <c r="A11">
        <f>Oct!A11+Oct!AI11+Oct!AJ11-Oct!AH11</f>
        <v>62</v>
      </c>
      <c r="B11" s="29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 t="s">
        <v>40</v>
      </c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>
        <f t="shared" ref="AG11:AG14" si="1">COUNTIF(B11:AF11, "CO")</f>
        <v>1</v>
      </c>
      <c r="AH11" s="2">
        <f t="shared" si="0"/>
        <v>0</v>
      </c>
      <c r="AI11" s="2">
        <v>1</v>
      </c>
    </row>
    <row r="12" spans="1:35" ht="20.100000000000001" customHeight="1" x14ac:dyDescent="0.25">
      <c r="A12">
        <f>Oct!A12+Oct!AI12+Oct!AJ12-Oct!AH12</f>
        <v>54</v>
      </c>
      <c r="B12" s="29" t="str">
        <f>Jan!B16</f>
        <v>M Bishi</v>
      </c>
      <c r="C12" s="2"/>
      <c r="D12" s="2"/>
      <c r="E12" s="2"/>
      <c r="F12" s="3"/>
      <c r="G12" s="3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>
        <f t="shared" si="1"/>
        <v>0</v>
      </c>
      <c r="AH12" s="2">
        <f t="shared" si="0"/>
        <v>0</v>
      </c>
      <c r="AI12" s="2">
        <v>1</v>
      </c>
    </row>
    <row r="13" spans="1:35" ht="20.100000000000001" customHeight="1" x14ac:dyDescent="0.25">
      <c r="A13">
        <f>Oct!A13+Oct!AI13+Oct!AJ13-Oct!AH13</f>
        <v>24</v>
      </c>
      <c r="B13" s="29" t="str">
        <f>Jan!B17</f>
        <v>S C Behera</v>
      </c>
      <c r="C13" s="2"/>
      <c r="D13" s="2"/>
      <c r="E13" s="2" t="s">
        <v>47</v>
      </c>
      <c r="F13" s="3" t="s">
        <v>47</v>
      </c>
      <c r="G13" s="3"/>
      <c r="H13" s="2"/>
      <c r="I13" s="2"/>
      <c r="J13" s="2"/>
      <c r="K13" s="2"/>
      <c r="L13" s="2"/>
      <c r="M13" s="3" t="s">
        <v>47</v>
      </c>
      <c r="N13" s="3"/>
      <c r="O13" s="2"/>
      <c r="P13" s="2"/>
      <c r="Q13" s="2"/>
      <c r="R13" s="2"/>
      <c r="S13" s="2"/>
      <c r="T13" s="3"/>
      <c r="U13" s="3"/>
      <c r="V13" s="2"/>
      <c r="W13" s="2"/>
      <c r="X13" s="2" t="s">
        <v>40</v>
      </c>
      <c r="Y13" s="2" t="s">
        <v>40</v>
      </c>
      <c r="Z13" s="2"/>
      <c r="AA13" s="3"/>
      <c r="AB13" s="3"/>
      <c r="AC13" s="2"/>
      <c r="AD13" s="2"/>
      <c r="AE13" s="2"/>
      <c r="AF13" s="2"/>
      <c r="AG13" s="2">
        <f t="shared" si="1"/>
        <v>5</v>
      </c>
      <c r="AH13" s="2">
        <f t="shared" si="0"/>
        <v>0</v>
      </c>
      <c r="AI13" s="2">
        <v>1</v>
      </c>
    </row>
    <row r="14" spans="1:35" ht="20.100000000000001" customHeight="1" x14ac:dyDescent="0.25">
      <c r="A14">
        <f>Oct!A14+Oct!AI14+Oct!AJ14-Oct!AH14</f>
        <v>21</v>
      </c>
      <c r="B14" s="29" t="str">
        <f>Jan!B14</f>
        <v>PK Sahoo Jr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3" t="s">
        <v>47</v>
      </c>
      <c r="O14" s="2"/>
      <c r="P14" s="2"/>
      <c r="Q14" s="2"/>
      <c r="R14" s="2"/>
      <c r="S14" s="2"/>
      <c r="T14" s="3"/>
      <c r="U14" s="3"/>
      <c r="V14" s="2"/>
      <c r="W14" s="2"/>
      <c r="X14" s="2"/>
      <c r="Y14" s="2" t="s">
        <v>39</v>
      </c>
      <c r="Z14" s="2"/>
      <c r="AA14" s="3"/>
      <c r="AB14" s="3"/>
      <c r="AC14" s="2"/>
      <c r="AD14" s="2"/>
      <c r="AE14" s="2"/>
      <c r="AF14" s="2"/>
      <c r="AG14" s="2">
        <f t="shared" si="1"/>
        <v>1</v>
      </c>
      <c r="AH14" s="2">
        <f t="shared" si="0"/>
        <v>1</v>
      </c>
      <c r="AI14" s="2">
        <v>1</v>
      </c>
    </row>
    <row r="15" spans="1:35" ht="20.100000000000001" customHeight="1" x14ac:dyDescent="0.25">
      <c r="A15">
        <f>Oct!A15+Oct!AI15+Oct!AJ15-Oct!AH15</f>
        <v>43</v>
      </c>
      <c r="B15" s="29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>
        <f t="shared" ref="AG15" si="2">COUNTIF(B15:AF15, "CO")</f>
        <v>0</v>
      </c>
      <c r="AH15" s="2">
        <f t="shared" si="0"/>
        <v>0</v>
      </c>
      <c r="AI15" s="2">
        <v>1</v>
      </c>
    </row>
    <row r="16" spans="1:35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8" spans="2:2" x14ac:dyDescent="0.25">
      <c r="B28" s="9"/>
    </row>
  </sheetData>
  <mergeCells count="7">
    <mergeCell ref="AE1:AG1"/>
    <mergeCell ref="C16:AH16"/>
    <mergeCell ref="AH4:AH5"/>
    <mergeCell ref="A4:A5"/>
    <mergeCell ref="AI4:AI5"/>
    <mergeCell ref="B4:B5"/>
    <mergeCell ref="AG4:AG5"/>
  </mergeCells>
  <conditionalFormatting sqref="C8:AF15 D7:AF7 C6:AF6">
    <cfRule type="containsText" dxfId="285" priority="1" operator="containsText" text="e">
      <formula>NOT(ISERROR(SEARCH("e",C6)))</formula>
    </cfRule>
    <cfRule type="containsText" dxfId="284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14" sqref="A14:XFD14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22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">
        <v>26</v>
      </c>
      <c r="AC4" s="1">
        <v>27</v>
      </c>
      <c r="AD4" s="1">
        <v>28</v>
      </c>
      <c r="AE4" s="1">
        <v>29</v>
      </c>
      <c r="AF4" s="1">
        <v>30</v>
      </c>
      <c r="AG4" s="1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1" t="s">
        <v>3</v>
      </c>
      <c r="D5" s="1" t="s">
        <v>4</v>
      </c>
      <c r="E5" s="1" t="s">
        <v>5</v>
      </c>
      <c r="F5" s="1" t="s">
        <v>6</v>
      </c>
      <c r="G5" s="1" t="s">
        <v>0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0</v>
      </c>
      <c r="O5" s="1" t="s">
        <v>1</v>
      </c>
      <c r="P5" s="1" t="s">
        <v>2</v>
      </c>
      <c r="Q5" s="1" t="s">
        <v>3</v>
      </c>
      <c r="R5" s="1" t="s">
        <v>4</v>
      </c>
      <c r="S5" s="1" t="s">
        <v>5</v>
      </c>
      <c r="T5" s="1" t="s">
        <v>6</v>
      </c>
      <c r="U5" s="1" t="s">
        <v>0</v>
      </c>
      <c r="V5" s="1" t="s">
        <v>1</v>
      </c>
      <c r="W5" s="1" t="s">
        <v>2</v>
      </c>
      <c r="X5" s="1" t="s">
        <v>3</v>
      </c>
      <c r="Y5" s="1" t="s">
        <v>4</v>
      </c>
      <c r="Z5" s="1" t="s">
        <v>5</v>
      </c>
      <c r="AA5" s="1" t="s">
        <v>6</v>
      </c>
      <c r="AB5" s="1" t="s">
        <v>0</v>
      </c>
      <c r="AC5" s="1" t="s">
        <v>1</v>
      </c>
      <c r="AD5" s="1" t="s">
        <v>2</v>
      </c>
      <c r="AE5" s="1" t="s">
        <v>3</v>
      </c>
      <c r="AF5" s="1" t="s">
        <v>4</v>
      </c>
      <c r="AG5" s="1" t="s">
        <v>5</v>
      </c>
      <c r="AH5" s="56"/>
      <c r="AI5" s="56"/>
      <c r="AJ5" s="56"/>
    </row>
    <row r="6" spans="1:36" ht="20.100000000000001" customHeight="1" x14ac:dyDescent="0.25">
      <c r="A6" s="19">
        <f>Nov!A6+Nov!AI6+Nov!AH6-Nov!AG6</f>
        <v>6</v>
      </c>
      <c r="B6" s="29" t="str">
        <f>Jan!B6</f>
        <v>KC Tirkey</v>
      </c>
      <c r="C6" s="2"/>
      <c r="D6" s="2"/>
      <c r="E6" s="2"/>
      <c r="F6" s="3"/>
      <c r="G6" s="3"/>
      <c r="H6" s="2"/>
      <c r="I6" s="2"/>
      <c r="J6" s="2"/>
      <c r="K6" s="2"/>
      <c r="L6" s="2" t="s">
        <v>40</v>
      </c>
      <c r="M6" s="3" t="s">
        <v>40</v>
      </c>
      <c r="N6" s="3"/>
      <c r="O6" s="2"/>
      <c r="P6" s="2"/>
      <c r="Q6" s="2" t="s">
        <v>40</v>
      </c>
      <c r="R6" s="2"/>
      <c r="S6" s="2" t="s">
        <v>39</v>
      </c>
      <c r="T6" s="3" t="s">
        <v>39</v>
      </c>
      <c r="U6" s="3" t="s">
        <v>39</v>
      </c>
      <c r="V6" s="2"/>
      <c r="W6" s="2" t="s">
        <v>39</v>
      </c>
      <c r="X6" s="2"/>
      <c r="Y6" s="2"/>
      <c r="Z6" s="2" t="s">
        <v>40</v>
      </c>
      <c r="AA6" s="2" t="s">
        <v>40</v>
      </c>
      <c r="AB6" s="2" t="s">
        <v>40</v>
      </c>
      <c r="AC6" s="2" t="s">
        <v>40</v>
      </c>
      <c r="AD6" s="2" t="s">
        <v>40</v>
      </c>
      <c r="AE6" s="2" t="s">
        <v>40</v>
      </c>
      <c r="AF6" s="2"/>
      <c r="AG6" s="2"/>
      <c r="AH6" s="2">
        <f>COUNTIF(C6:AG6, "CO")</f>
        <v>9</v>
      </c>
      <c r="AI6" s="2">
        <f t="shared" ref="AI6:AI15" si="0">COUNTIF(C6:AG6, "E")</f>
        <v>4</v>
      </c>
      <c r="AJ6" s="2">
        <v>1</v>
      </c>
    </row>
    <row r="7" spans="1:36" ht="20.100000000000001" customHeight="1" x14ac:dyDescent="0.25">
      <c r="A7" s="19">
        <f>Nov!A7+Nov!AI7+Nov!AH7-Nov!AG7</f>
        <v>24</v>
      </c>
      <c r="B7" s="29" t="str">
        <f>Jan!B7</f>
        <v>GN Madhei</v>
      </c>
      <c r="D7" s="2" t="s">
        <v>39</v>
      </c>
      <c r="E7" s="2"/>
      <c r="F7" s="2"/>
      <c r="G7" s="2"/>
      <c r="H7" s="2"/>
      <c r="I7" s="2"/>
      <c r="J7" s="2"/>
      <c r="K7" s="2" t="s">
        <v>39</v>
      </c>
      <c r="L7" s="2"/>
      <c r="M7" s="2"/>
      <c r="N7" s="2"/>
      <c r="O7" s="2"/>
      <c r="P7" s="2" t="s">
        <v>40</v>
      </c>
      <c r="Q7" s="2" t="s">
        <v>40</v>
      </c>
      <c r="R7" s="2"/>
      <c r="S7" s="2" t="s">
        <v>40</v>
      </c>
      <c r="T7" s="2" t="s">
        <v>40</v>
      </c>
      <c r="U7" s="2" t="s">
        <v>40</v>
      </c>
      <c r="V7" s="2"/>
      <c r="W7" s="2" t="s">
        <v>40</v>
      </c>
      <c r="X7" s="2" t="s">
        <v>40</v>
      </c>
      <c r="Y7" s="2"/>
      <c r="Z7" s="2"/>
      <c r="AA7" s="3" t="s">
        <v>39</v>
      </c>
      <c r="AB7" s="3" t="s">
        <v>39</v>
      </c>
      <c r="AC7" s="2" t="s">
        <v>39</v>
      </c>
      <c r="AD7" s="2" t="s">
        <v>39</v>
      </c>
      <c r="AE7" s="2" t="s">
        <v>39</v>
      </c>
      <c r="AG7" s="2" t="s">
        <v>39</v>
      </c>
      <c r="AH7" s="2">
        <f>COUNTIF(C7:AG7, "CO")</f>
        <v>7</v>
      </c>
      <c r="AI7" s="2">
        <f t="shared" si="0"/>
        <v>8</v>
      </c>
      <c r="AJ7" s="2">
        <v>1</v>
      </c>
    </row>
    <row r="8" spans="1:36" ht="20.100000000000001" customHeight="1" x14ac:dyDescent="0.25">
      <c r="A8" s="19">
        <f>Nov!A8+Nov!AI8+Nov!AH8-Nov!AG8</f>
        <v>49</v>
      </c>
      <c r="B8" s="29" t="str">
        <f>Jan!B9</f>
        <v>S Lakra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2"/>
      <c r="P8" s="2"/>
      <c r="Q8" s="2"/>
      <c r="R8" s="2" t="s">
        <v>39</v>
      </c>
      <c r="S8" s="2"/>
      <c r="T8" s="3"/>
      <c r="U8" s="3"/>
      <c r="V8" s="2" t="s">
        <v>39</v>
      </c>
      <c r="W8" s="2" t="s">
        <v>39</v>
      </c>
      <c r="X8" s="2"/>
      <c r="Y8" s="2"/>
      <c r="Z8" s="2"/>
      <c r="AA8" s="3"/>
      <c r="AB8" s="3"/>
      <c r="AC8" s="2"/>
      <c r="AD8" s="2" t="s">
        <v>40</v>
      </c>
      <c r="AE8" s="2" t="s">
        <v>40</v>
      </c>
      <c r="AF8" s="2" t="s">
        <v>40</v>
      </c>
      <c r="AG8" s="2" t="s">
        <v>40</v>
      </c>
      <c r="AH8" s="2">
        <f>COUNTIF(C8:AG8, "CO")</f>
        <v>4</v>
      </c>
      <c r="AI8" s="2">
        <f t="shared" si="0"/>
        <v>3</v>
      </c>
      <c r="AJ8" s="2">
        <v>1</v>
      </c>
    </row>
    <row r="9" spans="1:36" ht="20.100000000000001" customHeight="1" x14ac:dyDescent="0.25">
      <c r="A9" s="19">
        <f>Nov!A9+Nov!AI9+Nov!AH9-Nov!AG9</f>
        <v>41</v>
      </c>
      <c r="B9" s="29" t="str">
        <f>Jan!B10</f>
        <v>SK Maharana</v>
      </c>
      <c r="C9" s="2"/>
      <c r="D9" s="2"/>
      <c r="E9" s="2"/>
      <c r="F9" s="3"/>
      <c r="G9" s="3" t="s">
        <v>39</v>
      </c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 t="s">
        <v>39</v>
      </c>
      <c r="U9" s="3" t="s">
        <v>39</v>
      </c>
      <c r="V9" s="2"/>
      <c r="W9" s="2"/>
      <c r="X9" s="2"/>
      <c r="Y9" s="2"/>
      <c r="Z9" s="2"/>
      <c r="AA9" s="3"/>
      <c r="AB9" s="3"/>
      <c r="AC9" s="2" t="s">
        <v>40</v>
      </c>
      <c r="AD9" s="2" t="s">
        <v>40</v>
      </c>
      <c r="AE9" s="2" t="s">
        <v>40</v>
      </c>
      <c r="AF9" s="2" t="s">
        <v>40</v>
      </c>
      <c r="AG9" s="2"/>
      <c r="AH9" s="2">
        <f>COUNTIF(C9:AG9, "CO")</f>
        <v>4</v>
      </c>
      <c r="AI9" s="2">
        <f t="shared" si="0"/>
        <v>3</v>
      </c>
      <c r="AJ9" s="2">
        <v>1</v>
      </c>
    </row>
    <row r="10" spans="1:36" ht="20.100000000000001" customHeight="1" x14ac:dyDescent="0.25">
      <c r="A10" s="19">
        <f>Nov!A10+Nov!AI10+Nov!AH10-Nov!AG10</f>
        <v>47</v>
      </c>
      <c r="B10" s="29" t="str">
        <f>Jan!B11</f>
        <v>PK Sahoo Sr</v>
      </c>
      <c r="C10" s="2" t="s">
        <v>40</v>
      </c>
      <c r="D10" s="2" t="s">
        <v>40</v>
      </c>
      <c r="E10" s="2" t="s">
        <v>40</v>
      </c>
      <c r="F10" s="2"/>
      <c r="G10" s="2" t="s">
        <v>40</v>
      </c>
      <c r="H10" s="2" t="s">
        <v>40</v>
      </c>
      <c r="I10" s="2" t="s">
        <v>40</v>
      </c>
      <c r="J10" s="2" t="s">
        <v>40</v>
      </c>
      <c r="K10" s="2"/>
      <c r="L10" s="2"/>
      <c r="M10" s="3"/>
      <c r="N10" s="3"/>
      <c r="O10" s="2"/>
      <c r="P10" s="2"/>
      <c r="Q10" s="2" t="s">
        <v>40</v>
      </c>
      <c r="R10" s="2"/>
      <c r="S10" s="2"/>
      <c r="T10" s="3"/>
      <c r="U10" s="3"/>
      <c r="V10" s="2"/>
      <c r="W10" s="2"/>
      <c r="X10" s="2"/>
      <c r="Y10" s="2"/>
      <c r="Z10" s="2"/>
      <c r="AA10" s="3"/>
      <c r="AB10" s="3" t="s">
        <v>39</v>
      </c>
      <c r="AC10" s="2" t="s">
        <v>39</v>
      </c>
      <c r="AD10" s="2"/>
      <c r="AE10" s="2"/>
      <c r="AF10" s="2"/>
      <c r="AG10" s="2"/>
      <c r="AH10" s="2">
        <f>COUNTIF(C10:AG10, "CO")</f>
        <v>8</v>
      </c>
      <c r="AI10" s="2">
        <f t="shared" si="0"/>
        <v>2</v>
      </c>
      <c r="AJ10" s="2">
        <v>1</v>
      </c>
    </row>
    <row r="11" spans="1:36" ht="20.100000000000001" customHeight="1" x14ac:dyDescent="0.25">
      <c r="A11" s="19">
        <f>Nov!A11+Nov!AI11+Nov!AH11-Nov!AG11</f>
        <v>62</v>
      </c>
      <c r="B11" s="29" t="str">
        <f>Jan!B12</f>
        <v>RK Singh</v>
      </c>
      <c r="C11" s="2"/>
      <c r="D11" s="2"/>
      <c r="E11" s="2"/>
      <c r="F11" s="3" t="s">
        <v>40</v>
      </c>
      <c r="G11" s="3" t="s">
        <v>40</v>
      </c>
      <c r="H11" s="2" t="s">
        <v>40</v>
      </c>
      <c r="I11" s="2"/>
      <c r="J11" s="2" t="s">
        <v>40</v>
      </c>
      <c r="K11" s="2"/>
      <c r="L11" s="2"/>
      <c r="M11" s="3"/>
      <c r="N11" s="3" t="s">
        <v>40</v>
      </c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ref="AH11:AH14" si="1">COUNTIF(C11:AG11, "CO")</f>
        <v>5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Nov!A12+Nov!AI12+Nov!AH12-Nov!AG12</f>
        <v>55</v>
      </c>
      <c r="B12" s="29" t="str">
        <f>Jan!B16</f>
        <v>M Bishi</v>
      </c>
      <c r="C12" s="2" t="s">
        <v>39</v>
      </c>
      <c r="D12" s="2"/>
      <c r="E12" s="2" t="s">
        <v>39</v>
      </c>
      <c r="F12" s="3"/>
      <c r="G12" s="3"/>
      <c r="H12" s="2"/>
      <c r="I12" s="2"/>
      <c r="J12" s="2"/>
      <c r="K12" s="2"/>
      <c r="L12" s="2"/>
      <c r="M12" s="3"/>
      <c r="N12" s="3"/>
      <c r="O12" s="2"/>
      <c r="P12" s="2"/>
      <c r="Q12" s="2" t="s">
        <v>40</v>
      </c>
      <c r="R12" s="2" t="s">
        <v>40</v>
      </c>
      <c r="S12" s="2"/>
      <c r="T12" s="3"/>
      <c r="U12" s="3"/>
      <c r="V12" s="2"/>
      <c r="W12" s="2"/>
      <c r="X12" s="2" t="s">
        <v>39</v>
      </c>
      <c r="Y12" s="2" t="s">
        <v>39</v>
      </c>
      <c r="Z12" s="2" t="s">
        <v>39</v>
      </c>
      <c r="AA12" s="3" t="s">
        <v>39</v>
      </c>
      <c r="AB12" s="3"/>
      <c r="AC12" s="2"/>
      <c r="AD12" s="2"/>
      <c r="AE12" s="2"/>
      <c r="AF12" s="2" t="s">
        <v>40</v>
      </c>
      <c r="AG12" s="2"/>
      <c r="AH12" s="2">
        <f t="shared" si="1"/>
        <v>3</v>
      </c>
      <c r="AI12" s="2">
        <f t="shared" si="0"/>
        <v>6</v>
      </c>
      <c r="AJ12" s="2">
        <v>1</v>
      </c>
    </row>
    <row r="13" spans="1:36" ht="20.100000000000001" customHeight="1" x14ac:dyDescent="0.25">
      <c r="A13" s="19">
        <f>Nov!A13+Nov!AI13+Nov!AH13-Nov!AG13</f>
        <v>20</v>
      </c>
      <c r="B13" s="29" t="str">
        <f>Jan!B17</f>
        <v>S C Behera</v>
      </c>
      <c r="C13" s="2"/>
      <c r="D13" s="2"/>
      <c r="E13" s="2"/>
      <c r="F13" s="3" t="s">
        <v>40</v>
      </c>
      <c r="G13" s="3"/>
      <c r="H13" s="2"/>
      <c r="I13" s="2"/>
      <c r="J13" s="2"/>
      <c r="K13" s="2"/>
      <c r="L13" s="2"/>
      <c r="M13" s="3"/>
      <c r="N13" s="3"/>
      <c r="O13" s="2"/>
      <c r="P13" s="2"/>
      <c r="Q13" s="2" t="s">
        <v>40</v>
      </c>
      <c r="R13" s="2" t="s">
        <v>40</v>
      </c>
      <c r="S13" s="2"/>
      <c r="T13" s="3"/>
      <c r="U13" s="3"/>
      <c r="V13" s="2"/>
      <c r="W13" s="2"/>
      <c r="X13" s="2"/>
      <c r="Y13" s="2"/>
      <c r="Z13" s="2"/>
      <c r="AA13" s="3"/>
      <c r="AB13" s="2" t="s">
        <v>40</v>
      </c>
      <c r="AC13" s="2"/>
      <c r="AD13" s="2"/>
      <c r="AE13" s="2"/>
      <c r="AF13" s="2"/>
      <c r="AG13" s="2"/>
      <c r="AH13" s="2">
        <f t="shared" si="1"/>
        <v>4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Nov!A14+Nov!AI14+Nov!AH14-Nov!AG14</f>
        <v>22</v>
      </c>
      <c r="B14" s="29" t="str">
        <f>Jan!B14</f>
        <v>PK Sahoo Jr</v>
      </c>
      <c r="C14" s="2"/>
      <c r="D14" s="2"/>
      <c r="E14" s="2"/>
      <c r="F14" s="2"/>
      <c r="G14" s="2"/>
      <c r="H14" s="2"/>
      <c r="I14" s="2"/>
      <c r="J14" s="2"/>
      <c r="K14" s="2" t="s">
        <v>40</v>
      </c>
      <c r="L14" s="2"/>
      <c r="M14" s="3"/>
      <c r="N14" s="3"/>
      <c r="O14" s="2"/>
      <c r="P14" s="2"/>
      <c r="Q14" s="2" t="s">
        <v>39</v>
      </c>
      <c r="R14" s="2" t="s">
        <v>39</v>
      </c>
      <c r="S14" s="2"/>
      <c r="T14" s="3"/>
      <c r="U14" s="3"/>
      <c r="V14" s="2" t="s">
        <v>40</v>
      </c>
      <c r="W14" s="2"/>
      <c r="X14" s="2"/>
      <c r="Y14" s="2"/>
      <c r="Z14" s="2" t="s">
        <v>40</v>
      </c>
      <c r="AA14" s="2" t="s">
        <v>40</v>
      </c>
      <c r="AB14" s="2" t="s">
        <v>40</v>
      </c>
      <c r="AC14" s="2" t="s">
        <v>40</v>
      </c>
      <c r="AD14" s="2" t="s">
        <v>40</v>
      </c>
      <c r="AE14" s="2"/>
      <c r="AF14" s="2"/>
      <c r="AG14" s="2"/>
      <c r="AH14" s="2">
        <f t="shared" si="1"/>
        <v>7</v>
      </c>
      <c r="AI14" s="2">
        <f t="shared" si="0"/>
        <v>2</v>
      </c>
      <c r="AJ14" s="2">
        <v>1</v>
      </c>
    </row>
    <row r="15" spans="1:36" ht="20.100000000000001" customHeight="1" x14ac:dyDescent="0.25">
      <c r="A15" s="19">
        <f>Nov!A15+Nov!AI15+Nov!AH15-Nov!AG15</f>
        <v>44</v>
      </c>
      <c r="B15" s="29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ref="AH15" si="2">COUNTIF(C15:AG15, "CO")</f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4:A5"/>
    <mergeCell ref="AF21:AF23"/>
    <mergeCell ref="AI4:AI5"/>
    <mergeCell ref="AJ4:AJ5"/>
    <mergeCell ref="AE1:AH1"/>
    <mergeCell ref="B4:B5"/>
    <mergeCell ref="AH4:AH5"/>
    <mergeCell ref="C16:AH16"/>
  </mergeCells>
  <conditionalFormatting sqref="AG7 C6:AG6 D7:AE7 C8:AG15">
    <cfRule type="containsText" dxfId="283" priority="1" operator="containsText" text="e">
      <formula>NOT(ISERROR(SEARCH("e",C6)))</formula>
    </cfRule>
    <cfRule type="containsText" dxfId="282" priority="2" operator="containsText" text="co">
      <formula>NOT(ISERROR(SEARCH("co",C6)))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8" sqref="A8:XFD8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49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31">
        <v>1</v>
      </c>
      <c r="D4" s="31">
        <v>2</v>
      </c>
      <c r="E4" s="31">
        <v>3</v>
      </c>
      <c r="F4" s="31">
        <v>4</v>
      </c>
      <c r="G4" s="31">
        <v>5</v>
      </c>
      <c r="H4" s="31">
        <v>6</v>
      </c>
      <c r="I4" s="31">
        <v>7</v>
      </c>
      <c r="J4" s="31">
        <v>8</v>
      </c>
      <c r="K4" s="31">
        <v>9</v>
      </c>
      <c r="L4" s="31">
        <v>10</v>
      </c>
      <c r="M4" s="31">
        <v>11</v>
      </c>
      <c r="N4" s="31">
        <v>12</v>
      </c>
      <c r="O4" s="31">
        <v>13</v>
      </c>
      <c r="P4" s="31">
        <v>14</v>
      </c>
      <c r="Q4" s="31">
        <v>15</v>
      </c>
      <c r="R4" s="31">
        <v>16</v>
      </c>
      <c r="S4" s="31">
        <v>17</v>
      </c>
      <c r="T4" s="31">
        <v>18</v>
      </c>
      <c r="U4" s="31">
        <v>19</v>
      </c>
      <c r="V4" s="31">
        <v>20</v>
      </c>
      <c r="W4" s="31">
        <v>21</v>
      </c>
      <c r="X4" s="31">
        <v>22</v>
      </c>
      <c r="Y4" s="31">
        <v>23</v>
      </c>
      <c r="Z4" s="31">
        <v>24</v>
      </c>
      <c r="AA4" s="31">
        <v>25</v>
      </c>
      <c r="AB4" s="31">
        <v>26</v>
      </c>
      <c r="AC4" s="31">
        <v>27</v>
      </c>
      <c r="AD4" s="31">
        <v>28</v>
      </c>
      <c r="AE4" s="31">
        <v>29</v>
      </c>
      <c r="AF4" s="31">
        <v>30</v>
      </c>
      <c r="AG4" s="31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31" t="s">
        <v>6</v>
      </c>
      <c r="D5" s="31" t="s">
        <v>0</v>
      </c>
      <c r="E5" s="31" t="s">
        <v>1</v>
      </c>
      <c r="F5" s="31" t="s">
        <v>2</v>
      </c>
      <c r="G5" s="31" t="s">
        <v>3</v>
      </c>
      <c r="H5" s="31" t="s">
        <v>4</v>
      </c>
      <c r="I5" s="31" t="s">
        <v>5</v>
      </c>
      <c r="J5" s="31" t="s">
        <v>6</v>
      </c>
      <c r="K5" s="31" t="s">
        <v>0</v>
      </c>
      <c r="L5" s="31" t="s">
        <v>1</v>
      </c>
      <c r="M5" s="31" t="s">
        <v>2</v>
      </c>
      <c r="N5" s="31" t="s">
        <v>3</v>
      </c>
      <c r="O5" s="31" t="s">
        <v>4</v>
      </c>
      <c r="P5" s="31" t="s">
        <v>5</v>
      </c>
      <c r="Q5" s="31" t="s">
        <v>6</v>
      </c>
      <c r="R5" s="31" t="s">
        <v>0</v>
      </c>
      <c r="S5" s="31" t="s">
        <v>1</v>
      </c>
      <c r="T5" s="31" t="s">
        <v>2</v>
      </c>
      <c r="U5" s="31" t="s">
        <v>3</v>
      </c>
      <c r="V5" s="31" t="s">
        <v>4</v>
      </c>
      <c r="W5" s="31" t="s">
        <v>5</v>
      </c>
      <c r="X5" s="31" t="s">
        <v>6</v>
      </c>
      <c r="Y5" s="31" t="s">
        <v>0</v>
      </c>
      <c r="Z5" s="31" t="s">
        <v>1</v>
      </c>
      <c r="AA5" s="31" t="s">
        <v>2</v>
      </c>
      <c r="AB5" s="31" t="s">
        <v>3</v>
      </c>
      <c r="AC5" s="31" t="s">
        <v>4</v>
      </c>
      <c r="AD5" s="31" t="s">
        <v>5</v>
      </c>
      <c r="AE5" s="31" t="s">
        <v>6</v>
      </c>
      <c r="AF5" s="31" t="s">
        <v>0</v>
      </c>
      <c r="AG5" s="31" t="s">
        <v>1</v>
      </c>
      <c r="AH5" s="56"/>
      <c r="AI5" s="56"/>
      <c r="AJ5" s="56"/>
    </row>
    <row r="6" spans="1:36" ht="20.100000000000001" customHeight="1" x14ac:dyDescent="0.25">
      <c r="A6" s="19">
        <f>Dec!A6+Dec!AI6+Dec!AJ6-Dec!AH6</f>
        <v>2</v>
      </c>
      <c r="B6" s="31" t="str">
        <f>Jan!B6</f>
        <v>KC Tirkey</v>
      </c>
      <c r="C6" s="2"/>
      <c r="D6" s="2"/>
      <c r="E6" s="2"/>
      <c r="F6" s="3"/>
      <c r="G6" s="3"/>
      <c r="H6" s="2"/>
      <c r="I6" s="2"/>
      <c r="J6" s="2"/>
      <c r="K6" s="2"/>
      <c r="L6" s="2" t="s">
        <v>40</v>
      </c>
      <c r="M6" s="2" t="s">
        <v>40</v>
      </c>
      <c r="N6" s="2" t="s">
        <v>40</v>
      </c>
      <c r="O6" s="2"/>
      <c r="P6" s="2"/>
      <c r="Q6" s="2"/>
      <c r="R6" s="2"/>
      <c r="S6" s="2"/>
      <c r="T6" s="3" t="s">
        <v>40</v>
      </c>
      <c r="U6" s="3" t="s">
        <v>40</v>
      </c>
      <c r="V6" s="2"/>
      <c r="W6" s="2"/>
      <c r="X6" s="2" t="s">
        <v>39</v>
      </c>
      <c r="Y6" s="2" t="s">
        <v>39</v>
      </c>
      <c r="Z6" s="2"/>
      <c r="AA6" s="3"/>
      <c r="AB6" s="3"/>
      <c r="AC6" s="2"/>
      <c r="AD6" s="2"/>
      <c r="AE6" s="2" t="s">
        <v>39</v>
      </c>
      <c r="AF6" s="2" t="s">
        <v>39</v>
      </c>
      <c r="AG6" s="2" t="s">
        <v>39</v>
      </c>
      <c r="AH6" s="2">
        <f>COUNTIF(C6:AG6, "CO")</f>
        <v>5</v>
      </c>
      <c r="AI6" s="2">
        <f t="shared" ref="AI6:AI15" si="0">COUNTIF(C6:AG6, "E")</f>
        <v>5</v>
      </c>
      <c r="AJ6" s="2">
        <v>1</v>
      </c>
    </row>
    <row r="7" spans="1:36" ht="20.100000000000001" customHeight="1" x14ac:dyDescent="0.25">
      <c r="A7" s="19">
        <f>Dec!A7+Dec!AI7+Dec!AJ7-Dec!AH7</f>
        <v>26</v>
      </c>
      <c r="B7" s="31" t="str">
        <f>Jan!B7</f>
        <v>GN Madhei</v>
      </c>
      <c r="D7" s="2" t="s">
        <v>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 t="s">
        <v>40</v>
      </c>
      <c r="Q7" s="3" t="s">
        <v>40</v>
      </c>
      <c r="R7" s="3" t="s">
        <v>40</v>
      </c>
      <c r="S7" s="2"/>
      <c r="T7" s="3"/>
      <c r="U7" s="3" t="s">
        <v>40</v>
      </c>
      <c r="V7" s="3" t="s">
        <v>40</v>
      </c>
      <c r="W7" s="3" t="s">
        <v>40</v>
      </c>
      <c r="X7" s="3" t="s">
        <v>40</v>
      </c>
      <c r="Y7" s="2"/>
      <c r="Z7" s="2"/>
      <c r="AA7" s="3"/>
      <c r="AB7" s="3"/>
      <c r="AC7" s="2"/>
      <c r="AD7" s="2" t="s">
        <v>39</v>
      </c>
      <c r="AE7" s="2"/>
      <c r="AG7" s="2"/>
      <c r="AH7" s="2">
        <f>COUNTIF(C7:AG7, "CO")</f>
        <v>7</v>
      </c>
      <c r="AI7" s="2">
        <f t="shared" si="0"/>
        <v>2</v>
      </c>
      <c r="AJ7" s="2">
        <v>1</v>
      </c>
    </row>
    <row r="8" spans="1:36" ht="20.100000000000001" customHeight="1" x14ac:dyDescent="0.25">
      <c r="A8">
        <v>65</v>
      </c>
      <c r="B8" s="31" t="str">
        <f>Jan!B18</f>
        <v>S K Sahoo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2"/>
      <c r="P8" s="2" t="s">
        <v>39</v>
      </c>
      <c r="Q8" s="2"/>
      <c r="R8" s="2"/>
      <c r="S8" s="2"/>
      <c r="T8" s="3"/>
      <c r="U8" s="3"/>
      <c r="V8" s="2" t="s">
        <v>39</v>
      </c>
      <c r="W8" s="2" t="s">
        <v>39</v>
      </c>
      <c r="X8" s="2"/>
      <c r="Y8" s="2"/>
      <c r="Z8" s="2"/>
      <c r="AA8" s="3"/>
      <c r="AB8" s="3"/>
      <c r="AC8" s="2"/>
      <c r="AD8" s="2"/>
      <c r="AE8" s="2"/>
      <c r="AF8" s="2"/>
      <c r="AG8" s="2"/>
      <c r="AH8" s="2">
        <f>COUNTIF(C8:AG8, "CO")</f>
        <v>0</v>
      </c>
      <c r="AI8" s="2">
        <f t="shared" si="0"/>
        <v>3</v>
      </c>
      <c r="AJ8" s="2">
        <v>1</v>
      </c>
    </row>
    <row r="9" spans="1:36" ht="20.100000000000001" customHeight="1" x14ac:dyDescent="0.25">
      <c r="A9" s="19">
        <f>Dec!A8+Dec!AI8+Dec!AJ8-Dec!AH8</f>
        <v>49</v>
      </c>
      <c r="B9" s="31" t="str">
        <f>Jan!B9</f>
        <v>S Lakra</v>
      </c>
      <c r="C9" s="2"/>
      <c r="D9" s="2"/>
      <c r="E9" s="2"/>
      <c r="F9" s="3"/>
      <c r="G9" s="3"/>
      <c r="H9" s="2"/>
      <c r="I9" s="2"/>
      <c r="J9" s="2" t="s">
        <v>39</v>
      </c>
      <c r="K9" s="2"/>
      <c r="L9" s="2"/>
      <c r="M9" s="3"/>
      <c r="N9" s="3"/>
      <c r="O9" s="2" t="s">
        <v>39</v>
      </c>
      <c r="P9" s="2" t="s">
        <v>39</v>
      </c>
      <c r="Q9" s="2"/>
      <c r="R9" s="2"/>
      <c r="S9" s="2"/>
      <c r="T9" s="3"/>
      <c r="U9" s="3" t="s">
        <v>39</v>
      </c>
      <c r="V9" s="2"/>
      <c r="W9" s="2" t="s">
        <v>39</v>
      </c>
      <c r="X9" s="2"/>
      <c r="Y9" s="2"/>
      <c r="Z9" s="2"/>
      <c r="AA9" s="3"/>
      <c r="AB9" s="3"/>
      <c r="AC9" s="2"/>
      <c r="AD9" s="2"/>
      <c r="AE9" s="3" t="s">
        <v>40</v>
      </c>
      <c r="AF9" s="3" t="s">
        <v>40</v>
      </c>
      <c r="AG9" s="3" t="s">
        <v>40</v>
      </c>
      <c r="AH9" s="2">
        <f>COUNTIF(C9:AG9, "CO")</f>
        <v>3</v>
      </c>
      <c r="AI9" s="2">
        <f t="shared" si="0"/>
        <v>5</v>
      </c>
      <c r="AJ9" s="2">
        <v>1</v>
      </c>
    </row>
    <row r="10" spans="1:36" ht="20.100000000000001" customHeight="1" x14ac:dyDescent="0.25">
      <c r="A10" s="19">
        <f>Dec!A9+Dec!AI9+Dec!AJ9-Dec!AH9</f>
        <v>41</v>
      </c>
      <c r="B10" s="31" t="str">
        <f>Jan!B10</f>
        <v>SK Maharana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 t="s">
        <v>39</v>
      </c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>COUNTIF(C10:AG10, "CO")</f>
        <v>0</v>
      </c>
      <c r="AI10" s="2">
        <f t="shared" si="0"/>
        <v>1</v>
      </c>
      <c r="AJ10" s="2">
        <v>1</v>
      </c>
    </row>
    <row r="11" spans="1:36" ht="20.100000000000001" customHeight="1" x14ac:dyDescent="0.25">
      <c r="A11" s="19">
        <f>Dec!A11+Dec!AI11+Dec!AJ11-Dec!AH11</f>
        <v>58</v>
      </c>
      <c r="B11" s="31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3" t="s">
        <v>40</v>
      </c>
      <c r="AH11" s="2">
        <f t="shared" ref="AH11:AH15" si="1">COUNTIF(C11:AG11, "CO")</f>
        <v>1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Dec!A12+Dec!AI12+Dec!AJ12-Dec!AH12</f>
        <v>59</v>
      </c>
      <c r="B12" s="31" t="str">
        <f>Jan!B16</f>
        <v>M Bishi</v>
      </c>
      <c r="C12" s="2"/>
      <c r="D12" s="2"/>
      <c r="E12" s="2" t="s">
        <v>39</v>
      </c>
      <c r="F12" s="3"/>
      <c r="G12" s="3"/>
      <c r="H12" s="2"/>
      <c r="I12" s="2"/>
      <c r="J12" s="2"/>
      <c r="K12" s="2"/>
      <c r="L12" s="2"/>
      <c r="M12" s="3"/>
      <c r="N12" s="3"/>
      <c r="O12" s="2"/>
      <c r="P12" s="2"/>
      <c r="Q12" s="2"/>
      <c r="R12" s="2" t="s">
        <v>39</v>
      </c>
      <c r="S12" s="2" t="s">
        <v>39</v>
      </c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3</v>
      </c>
      <c r="AJ12" s="2">
        <v>1</v>
      </c>
    </row>
    <row r="13" spans="1:36" ht="20.100000000000001" customHeight="1" x14ac:dyDescent="0.25">
      <c r="A13" s="19">
        <f>Dec!A13+Dec!AI13+Dec!AJ13-Dec!AH13</f>
        <v>17</v>
      </c>
      <c r="B13" s="31" t="str">
        <f>Jan!B17</f>
        <v>S C Behera</v>
      </c>
      <c r="C13" s="2" t="s">
        <v>40</v>
      </c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2" t="s">
        <v>40</v>
      </c>
      <c r="AB13" s="3"/>
      <c r="AC13" s="2" t="s">
        <v>40</v>
      </c>
      <c r="AD13" s="2"/>
      <c r="AE13" s="2"/>
      <c r="AF13" s="2"/>
      <c r="AG13" s="2"/>
      <c r="AH13" s="2">
        <f t="shared" si="1"/>
        <v>3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Dec!A14+Dec!AI14+Dec!AJ14-Dec!AH14</f>
        <v>18</v>
      </c>
      <c r="B14" s="31" t="str">
        <f>Jan!B14</f>
        <v>PK Sahoo Jr</v>
      </c>
      <c r="C14" s="2"/>
      <c r="D14" s="2"/>
      <c r="E14" s="2"/>
      <c r="F14" s="2" t="s">
        <v>39</v>
      </c>
      <c r="G14" s="2"/>
      <c r="H14" s="2"/>
      <c r="I14" s="2"/>
      <c r="J14" s="2"/>
      <c r="K14" s="2"/>
      <c r="L14" s="2"/>
      <c r="M14" s="3"/>
      <c r="N14" s="3"/>
      <c r="O14" s="2"/>
      <c r="P14" s="2"/>
      <c r="Q14" s="2"/>
      <c r="R14" s="2" t="s">
        <v>39</v>
      </c>
      <c r="S14" s="2" t="s">
        <v>39</v>
      </c>
      <c r="T14" s="3"/>
      <c r="U14" s="3"/>
      <c r="V14" s="2" t="s">
        <v>40</v>
      </c>
      <c r="W14" s="2" t="s">
        <v>40</v>
      </c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si="1"/>
        <v>2</v>
      </c>
      <c r="AI14" s="2">
        <f t="shared" si="0"/>
        <v>3</v>
      </c>
      <c r="AJ14" s="2">
        <v>1</v>
      </c>
    </row>
    <row r="15" spans="1:36" ht="20.100000000000001" customHeight="1" x14ac:dyDescent="0.25">
      <c r="A15" s="19">
        <f>Dec!A15+Dec!AI15+Dec!AJ15-Dec!AH15</f>
        <v>45</v>
      </c>
      <c r="B15" s="31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 t="s">
        <v>40</v>
      </c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1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C16:AH16"/>
    <mergeCell ref="AF21:AF23"/>
    <mergeCell ref="AE1:AH1"/>
    <mergeCell ref="A4:A5"/>
    <mergeCell ref="B4:B5"/>
    <mergeCell ref="AH4:AH5"/>
    <mergeCell ref="AI4:AI5"/>
    <mergeCell ref="AJ4:AJ5"/>
  </mergeCells>
  <conditionalFormatting sqref="AG7 C6:K6 O6:AG6 D7:AE7 C8:AG12 C15:AG15 D13:Z13 AB13 AD13:AG13 C14:U14 X14:AG14">
    <cfRule type="containsText" dxfId="281" priority="11" operator="containsText" text="e">
      <formula>NOT(ISERROR(SEARCH("e",C6)))</formula>
    </cfRule>
    <cfRule type="containsText" dxfId="280" priority="12" operator="containsText" text="co">
      <formula>NOT(ISERROR(SEARCH("co",C6)))</formula>
    </cfRule>
  </conditionalFormatting>
  <conditionalFormatting sqref="L6:N6">
    <cfRule type="containsText" dxfId="279" priority="9" operator="containsText" text="e">
      <formula>NOT(ISERROR(SEARCH("e",L6)))</formula>
    </cfRule>
    <cfRule type="containsText" dxfId="278" priority="10" operator="containsText" text="co">
      <formula>NOT(ISERROR(SEARCH("co",L6)))</formula>
    </cfRule>
  </conditionalFormatting>
  <conditionalFormatting sqref="C13">
    <cfRule type="containsText" dxfId="277" priority="7" operator="containsText" text="e">
      <formula>NOT(ISERROR(SEARCH("e",C13)))</formula>
    </cfRule>
    <cfRule type="containsText" dxfId="276" priority="8" operator="containsText" text="co">
      <formula>NOT(ISERROR(SEARCH("co",C13)))</formula>
    </cfRule>
  </conditionalFormatting>
  <conditionalFormatting sqref="AA13">
    <cfRule type="containsText" dxfId="275" priority="5" operator="containsText" text="e">
      <formula>NOT(ISERROR(SEARCH("e",AA13)))</formula>
    </cfRule>
    <cfRule type="containsText" dxfId="274" priority="6" operator="containsText" text="co">
      <formula>NOT(ISERROR(SEARCH("co",AA13)))</formula>
    </cfRule>
  </conditionalFormatting>
  <conditionalFormatting sqref="AC13">
    <cfRule type="containsText" dxfId="273" priority="3" operator="containsText" text="e">
      <formula>NOT(ISERROR(SEARCH("e",AC13)))</formula>
    </cfRule>
    <cfRule type="containsText" dxfId="272" priority="4" operator="containsText" text="co">
      <formula>NOT(ISERROR(SEARCH("co",AC13)))</formula>
    </cfRule>
  </conditionalFormatting>
  <conditionalFormatting sqref="V14:W14">
    <cfRule type="containsText" dxfId="271" priority="1" operator="containsText" text="e">
      <formula>NOT(ISERROR(SEARCH("e",V14)))</formula>
    </cfRule>
    <cfRule type="containsText" dxfId="270" priority="2" operator="containsText" text="co">
      <formula>NOT(ISERROR(SEARCH("co",V14)))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9" sqref="A9:XFD9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50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31">
        <v>1</v>
      </c>
      <c r="D4" s="31">
        <v>2</v>
      </c>
      <c r="E4" s="31">
        <v>3</v>
      </c>
      <c r="F4" s="31">
        <v>4</v>
      </c>
      <c r="G4" s="31">
        <v>5</v>
      </c>
      <c r="H4" s="31">
        <v>6</v>
      </c>
      <c r="I4" s="31">
        <v>7</v>
      </c>
      <c r="J4" s="31">
        <v>8</v>
      </c>
      <c r="K4" s="31">
        <v>9</v>
      </c>
      <c r="L4" s="31">
        <v>10</v>
      </c>
      <c r="M4" s="31">
        <v>11</v>
      </c>
      <c r="N4" s="31">
        <v>12</v>
      </c>
      <c r="O4" s="31">
        <v>13</v>
      </c>
      <c r="P4" s="31">
        <v>14</v>
      </c>
      <c r="Q4" s="31">
        <v>15</v>
      </c>
      <c r="R4" s="31">
        <v>16</v>
      </c>
      <c r="S4" s="31">
        <v>17</v>
      </c>
      <c r="T4" s="31">
        <v>18</v>
      </c>
      <c r="U4" s="31">
        <v>19</v>
      </c>
      <c r="V4" s="31">
        <v>20</v>
      </c>
      <c r="W4" s="31">
        <v>21</v>
      </c>
      <c r="X4" s="31">
        <v>22</v>
      </c>
      <c r="Y4" s="31">
        <v>23</v>
      </c>
      <c r="Z4" s="31">
        <v>24</v>
      </c>
      <c r="AA4" s="31">
        <v>25</v>
      </c>
      <c r="AB4" s="31">
        <v>26</v>
      </c>
      <c r="AC4" s="31">
        <v>27</v>
      </c>
      <c r="AD4" s="31">
        <v>28</v>
      </c>
      <c r="AE4" s="31">
        <v>29</v>
      </c>
      <c r="AF4" s="31"/>
      <c r="AG4" s="31"/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31" t="s">
        <v>2</v>
      </c>
      <c r="D5" s="31" t="s">
        <v>3</v>
      </c>
      <c r="E5" s="31" t="s">
        <v>4</v>
      </c>
      <c r="F5" s="31" t="s">
        <v>5</v>
      </c>
      <c r="G5" s="31" t="s">
        <v>6</v>
      </c>
      <c r="H5" s="31" t="s">
        <v>0</v>
      </c>
      <c r="I5" s="31" t="s">
        <v>1</v>
      </c>
      <c r="J5" s="31" t="s">
        <v>2</v>
      </c>
      <c r="K5" s="31" t="s">
        <v>3</v>
      </c>
      <c r="L5" s="31" t="s">
        <v>4</v>
      </c>
      <c r="M5" s="31" t="s">
        <v>5</v>
      </c>
      <c r="N5" s="31" t="s">
        <v>6</v>
      </c>
      <c r="O5" s="31" t="s">
        <v>0</v>
      </c>
      <c r="P5" s="31" t="s">
        <v>1</v>
      </c>
      <c r="Q5" s="31" t="s">
        <v>2</v>
      </c>
      <c r="R5" s="31" t="s">
        <v>3</v>
      </c>
      <c r="S5" s="31" t="s">
        <v>4</v>
      </c>
      <c r="T5" s="31" t="s">
        <v>5</v>
      </c>
      <c r="U5" s="31" t="s">
        <v>6</v>
      </c>
      <c r="V5" s="31" t="s">
        <v>0</v>
      </c>
      <c r="W5" s="31" t="s">
        <v>1</v>
      </c>
      <c r="X5" s="31" t="s">
        <v>2</v>
      </c>
      <c r="Y5" s="31" t="s">
        <v>3</v>
      </c>
      <c r="Z5" s="31" t="s">
        <v>4</v>
      </c>
      <c r="AA5" s="31" t="s">
        <v>5</v>
      </c>
      <c r="AB5" s="31" t="s">
        <v>6</v>
      </c>
      <c r="AC5" s="31" t="s">
        <v>0</v>
      </c>
      <c r="AD5" s="31" t="s">
        <v>1</v>
      </c>
      <c r="AE5" s="31" t="s">
        <v>2</v>
      </c>
      <c r="AF5" s="31"/>
      <c r="AG5" s="31"/>
      <c r="AH5" s="56"/>
      <c r="AI5" s="56"/>
      <c r="AJ5" s="56"/>
    </row>
    <row r="6" spans="1:36" ht="20.100000000000001" customHeight="1" x14ac:dyDescent="0.25">
      <c r="A6" s="19">
        <f>'Jan24'!A6+'Jan24'!AI6+'Jan24'!AJ6-'Jan24'!AH6</f>
        <v>3</v>
      </c>
      <c r="B6" s="31" t="str">
        <f>Jan!B6</f>
        <v>KC Tirkey</v>
      </c>
      <c r="C6" s="2"/>
      <c r="D6" s="2"/>
      <c r="E6" s="2"/>
      <c r="F6" s="3"/>
      <c r="G6" s="3"/>
      <c r="H6" s="2"/>
      <c r="I6" s="3" t="s">
        <v>40</v>
      </c>
      <c r="J6" s="3" t="s">
        <v>40</v>
      </c>
      <c r="K6" s="3" t="s">
        <v>40</v>
      </c>
      <c r="L6" s="2"/>
      <c r="M6" s="3" t="s">
        <v>40</v>
      </c>
      <c r="N6" s="3" t="s">
        <v>40</v>
      </c>
      <c r="O6" s="2"/>
      <c r="P6" s="2"/>
      <c r="Q6" s="2"/>
      <c r="R6" s="2"/>
      <c r="S6" s="2"/>
      <c r="T6" s="3"/>
      <c r="U6" s="3"/>
      <c r="V6" s="2"/>
      <c r="W6" s="2" t="s">
        <v>39</v>
      </c>
      <c r="X6" s="2" t="s">
        <v>39</v>
      </c>
      <c r="Y6" s="2" t="s">
        <v>39</v>
      </c>
      <c r="Z6" s="2"/>
      <c r="AA6" s="3" t="s">
        <v>39</v>
      </c>
      <c r="AB6" s="3" t="s">
        <v>39</v>
      </c>
      <c r="AC6" s="2"/>
      <c r="AD6" s="2" t="s">
        <v>39</v>
      </c>
      <c r="AE6" s="2" t="s">
        <v>39</v>
      </c>
      <c r="AF6" s="2"/>
      <c r="AG6" s="2"/>
      <c r="AH6" s="2">
        <f>COUNTIF(C6:AG6, "CO")</f>
        <v>5</v>
      </c>
      <c r="AI6" s="2">
        <f t="shared" ref="AI6:AI15" si="0">COUNTIF(C6:AG6, "E")</f>
        <v>7</v>
      </c>
      <c r="AJ6" s="2">
        <v>1</v>
      </c>
    </row>
    <row r="7" spans="1:36" ht="20.100000000000001" customHeight="1" x14ac:dyDescent="0.25">
      <c r="A7" s="19">
        <f>'Jan24'!A7+'Jan24'!AI7+'Jan24'!AJ7-'Jan24'!AH7</f>
        <v>22</v>
      </c>
      <c r="B7" s="31" t="str">
        <f>Jan!B7</f>
        <v>GN Madhei</v>
      </c>
      <c r="C7" s="2" t="s">
        <v>39</v>
      </c>
      <c r="D7" s="2" t="s">
        <v>39</v>
      </c>
      <c r="E7" s="2"/>
      <c r="F7" s="2"/>
      <c r="G7" s="2"/>
      <c r="H7" s="2"/>
      <c r="I7" s="2"/>
      <c r="J7" s="2"/>
      <c r="K7" s="2"/>
      <c r="L7" s="2"/>
      <c r="M7" s="3" t="s">
        <v>40</v>
      </c>
      <c r="N7" s="3" t="s">
        <v>40</v>
      </c>
      <c r="O7" s="3" t="s">
        <v>40</v>
      </c>
      <c r="P7" s="3"/>
      <c r="Q7" s="3" t="s">
        <v>40</v>
      </c>
      <c r="R7" s="2"/>
      <c r="S7" s="2"/>
      <c r="T7" s="3"/>
      <c r="U7" s="3"/>
      <c r="V7" s="2" t="s">
        <v>39</v>
      </c>
      <c r="W7" s="2"/>
      <c r="X7" s="2"/>
      <c r="Y7" s="2"/>
      <c r="Z7" s="2"/>
      <c r="AA7" s="3"/>
      <c r="AB7" s="3"/>
      <c r="AC7" s="2"/>
      <c r="AD7" s="2"/>
      <c r="AE7" s="2"/>
      <c r="AG7" s="2"/>
      <c r="AH7" s="2">
        <f>COUNTIF(C7:AG7, "CO")</f>
        <v>4</v>
      </c>
      <c r="AI7" s="2">
        <f t="shared" si="0"/>
        <v>3</v>
      </c>
      <c r="AJ7" s="2">
        <v>1</v>
      </c>
    </row>
    <row r="8" spans="1:36" ht="20.100000000000001" customHeight="1" x14ac:dyDescent="0.25">
      <c r="A8" s="19">
        <f>'Jan24'!A8+'Jan24'!AI8+'Jan24'!AJ8-'Jan24'!AH8</f>
        <v>69</v>
      </c>
      <c r="B8" s="31" t="str">
        <f>Jan!B18</f>
        <v>S K Sahoo</v>
      </c>
      <c r="C8" s="2"/>
      <c r="D8" s="2" t="s">
        <v>39</v>
      </c>
      <c r="E8" s="2" t="s">
        <v>39</v>
      </c>
      <c r="F8" s="3" t="s">
        <v>39</v>
      </c>
      <c r="G8" s="3"/>
      <c r="H8" s="2"/>
      <c r="I8" s="2"/>
      <c r="J8" s="2"/>
      <c r="K8" s="2" t="s">
        <v>39</v>
      </c>
      <c r="L8" s="2"/>
      <c r="M8" s="3" t="s">
        <v>40</v>
      </c>
      <c r="N8" s="3"/>
      <c r="O8" s="3" t="s">
        <v>40</v>
      </c>
      <c r="P8" s="3" t="s">
        <v>40</v>
      </c>
      <c r="Q8" s="3" t="s">
        <v>40</v>
      </c>
      <c r="R8" s="2"/>
      <c r="S8" s="2"/>
      <c r="T8" s="3" t="s">
        <v>39</v>
      </c>
      <c r="U8" s="3"/>
      <c r="V8" s="2"/>
      <c r="W8" s="2"/>
      <c r="X8" s="2"/>
      <c r="Y8" s="2"/>
      <c r="Z8" s="2"/>
      <c r="AA8" s="3"/>
      <c r="AB8" s="3"/>
      <c r="AC8" s="2"/>
      <c r="AD8" s="2" t="s">
        <v>40</v>
      </c>
      <c r="AE8" s="2" t="s">
        <v>40</v>
      </c>
      <c r="AF8" s="2"/>
      <c r="AG8" s="2"/>
      <c r="AH8" s="2">
        <f>COUNTIF(C8:AG8, "CO")</f>
        <v>6</v>
      </c>
      <c r="AI8" s="2">
        <f t="shared" si="0"/>
        <v>5</v>
      </c>
      <c r="AJ8" s="2">
        <v>1</v>
      </c>
    </row>
    <row r="9" spans="1:36" ht="20.100000000000001" customHeight="1" x14ac:dyDescent="0.25">
      <c r="A9" s="19">
        <f>'Jan24'!A9+'Jan24'!AI9+'Jan24'!AJ9-'Jan24'!AH9</f>
        <v>52</v>
      </c>
      <c r="B9" s="31" t="str">
        <f>Jan!B9</f>
        <v>S Lakra</v>
      </c>
      <c r="C9" s="2"/>
      <c r="D9" s="2"/>
      <c r="E9" s="2"/>
      <c r="F9" s="3"/>
      <c r="G9" s="3"/>
      <c r="H9" s="2"/>
      <c r="I9" s="2"/>
      <c r="J9" s="2" t="s">
        <v>39</v>
      </c>
      <c r="K9" s="2" t="s">
        <v>39</v>
      </c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 t="s">
        <v>40</v>
      </c>
      <c r="X9" s="2" t="s">
        <v>40</v>
      </c>
      <c r="Y9" s="2" t="s">
        <v>40</v>
      </c>
      <c r="Z9" s="2" t="s">
        <v>40</v>
      </c>
      <c r="AA9" s="3"/>
      <c r="AB9" s="3"/>
      <c r="AC9" s="2"/>
      <c r="AD9" s="2"/>
      <c r="AE9" s="2"/>
      <c r="AF9" s="2"/>
      <c r="AG9" s="2"/>
      <c r="AH9" s="2">
        <f>COUNTIF(C9:AG9, "CO")</f>
        <v>4</v>
      </c>
      <c r="AI9" s="2">
        <f t="shared" si="0"/>
        <v>2</v>
      </c>
      <c r="AJ9" s="2">
        <v>1</v>
      </c>
    </row>
    <row r="10" spans="1:36" ht="20.100000000000001" customHeight="1" x14ac:dyDescent="0.25">
      <c r="A10" s="19">
        <f>'Jan24'!A10+'Jan24'!AI10+'Jan24'!AJ10-'Jan24'!AH10</f>
        <v>43</v>
      </c>
      <c r="B10" s="31" t="str">
        <f>Jan!B10</f>
        <v>SK Maharana</v>
      </c>
      <c r="C10" s="3" t="s">
        <v>40</v>
      </c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>COUNTIF(C10:AG10, "CO")</f>
        <v>1</v>
      </c>
      <c r="AI10" s="2">
        <f t="shared" si="0"/>
        <v>0</v>
      </c>
      <c r="AJ10" s="2">
        <v>1</v>
      </c>
    </row>
    <row r="11" spans="1:36" ht="20.100000000000001" customHeight="1" x14ac:dyDescent="0.25">
      <c r="A11" s="19">
        <f>'Jan24'!A11+'Jan24'!AI11+'Jan24'!AJ11-'Jan24'!AH11</f>
        <v>58</v>
      </c>
      <c r="B11" s="31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ref="AH11:AH15" si="1">COUNTIF(C11:AG11, "CO")</f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'Jan24'!A12+'Jan24'!AI12+'Jan24'!AJ12-'Jan24'!AH12</f>
        <v>63</v>
      </c>
      <c r="B12" s="31" t="str">
        <f>Jan!B16</f>
        <v>M Bishi</v>
      </c>
      <c r="C12" s="2"/>
      <c r="D12" s="2"/>
      <c r="E12" s="2"/>
      <c r="F12" s="3"/>
      <c r="G12" s="3"/>
      <c r="H12" s="2"/>
      <c r="I12" s="2"/>
      <c r="J12" s="2"/>
      <c r="K12" s="3" t="s">
        <v>40</v>
      </c>
      <c r="L12" s="3" t="s">
        <v>40</v>
      </c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2</v>
      </c>
      <c r="AI12" s="2">
        <f t="shared" si="0"/>
        <v>0</v>
      </c>
      <c r="AJ12" s="2">
        <v>1</v>
      </c>
    </row>
    <row r="13" spans="1:36" ht="20.100000000000001" customHeight="1" x14ac:dyDescent="0.25">
      <c r="A13" s="19">
        <f>'Jan24'!A13+'Jan24'!AI13+'Jan24'!AJ13-'Jan24'!AH13</f>
        <v>15</v>
      </c>
      <c r="B13" s="31" t="str">
        <f>Jan!B17</f>
        <v>S C Behera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0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'Jan24'!A14+'Jan24'!AI14+'Jan24'!AJ14-'Jan24'!AH14</f>
        <v>20</v>
      </c>
      <c r="B14" s="31" t="str">
        <f>Jan!B14</f>
        <v>PK Sahoo Jr</v>
      </c>
      <c r="C14" s="2"/>
      <c r="D14" s="2"/>
      <c r="E14" s="3" t="s">
        <v>40</v>
      </c>
      <c r="F14" s="3" t="s">
        <v>40</v>
      </c>
      <c r="G14" s="2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 t="s">
        <v>40</v>
      </c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si="1"/>
        <v>3</v>
      </c>
      <c r="AI14" s="2">
        <f t="shared" si="0"/>
        <v>0</v>
      </c>
      <c r="AJ14" s="2">
        <v>1</v>
      </c>
    </row>
    <row r="15" spans="1:36" ht="20.100000000000001" customHeight="1" x14ac:dyDescent="0.25">
      <c r="A15" s="19">
        <f>'Jan24'!A15+'Jan24'!AI15+'Jan24'!AJ15-'Jan24'!AH15</f>
        <v>45</v>
      </c>
      <c r="B15" s="31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C16:AH16"/>
    <mergeCell ref="AF21:AF23"/>
    <mergeCell ref="AE1:AH1"/>
    <mergeCell ref="A4:A5"/>
    <mergeCell ref="B4:B5"/>
    <mergeCell ref="AH4:AH5"/>
    <mergeCell ref="AI4:AI5"/>
    <mergeCell ref="AJ4:AJ5"/>
  </mergeCells>
  <conditionalFormatting sqref="C9:AG9 D7:L7 AG7 O6:AG6 C6:K6 R7:AE7 C8:L8 N8 R8:AG8 D10:AG10 C11:AG13 C15:AG15 C14:D14 G14:AG14">
    <cfRule type="containsText" dxfId="269" priority="17" operator="containsText" text="e">
      <formula>NOT(ISERROR(SEARCH("e",C6)))</formula>
    </cfRule>
    <cfRule type="containsText" dxfId="268" priority="18" operator="containsText" text="co">
      <formula>NOT(ISERROR(SEARCH("co",C6)))</formula>
    </cfRule>
  </conditionalFormatting>
  <conditionalFormatting sqref="L6">
    <cfRule type="containsText" dxfId="267" priority="15" operator="containsText" text="e">
      <formula>NOT(ISERROR(SEARCH("e",L6)))</formula>
    </cfRule>
    <cfRule type="containsText" dxfId="266" priority="16" operator="containsText" text="co">
      <formula>NOT(ISERROR(SEARCH("co",L6)))</formula>
    </cfRule>
  </conditionalFormatting>
  <conditionalFormatting sqref="M6:N6">
    <cfRule type="containsText" dxfId="265" priority="13" operator="containsText" text="e">
      <formula>NOT(ISERROR(SEARCH("e",M6)))</formula>
    </cfRule>
    <cfRule type="containsText" dxfId="264" priority="14" operator="containsText" text="co">
      <formula>NOT(ISERROR(SEARCH("co",M6)))</formula>
    </cfRule>
  </conditionalFormatting>
  <conditionalFormatting sqref="M7:Q7">
    <cfRule type="containsText" dxfId="263" priority="11" operator="containsText" text="e">
      <formula>NOT(ISERROR(SEARCH("e",M7)))</formula>
    </cfRule>
    <cfRule type="containsText" dxfId="262" priority="12" operator="containsText" text="co">
      <formula>NOT(ISERROR(SEARCH("co",M7)))</formula>
    </cfRule>
  </conditionalFormatting>
  <conditionalFormatting sqref="M8">
    <cfRule type="containsText" dxfId="261" priority="9" operator="containsText" text="e">
      <formula>NOT(ISERROR(SEARCH("e",M8)))</formula>
    </cfRule>
    <cfRule type="containsText" dxfId="260" priority="10" operator="containsText" text="co">
      <formula>NOT(ISERROR(SEARCH("co",M8)))</formula>
    </cfRule>
  </conditionalFormatting>
  <conditionalFormatting sqref="O8:Q8">
    <cfRule type="containsText" dxfId="259" priority="7" operator="containsText" text="e">
      <formula>NOT(ISERROR(SEARCH("e",O8)))</formula>
    </cfRule>
    <cfRule type="containsText" dxfId="258" priority="8" operator="containsText" text="co">
      <formula>NOT(ISERROR(SEARCH("co",O8)))</formula>
    </cfRule>
  </conditionalFormatting>
  <conditionalFormatting sqref="C10">
    <cfRule type="containsText" dxfId="257" priority="5" operator="containsText" text="e">
      <formula>NOT(ISERROR(SEARCH("e",C10)))</formula>
    </cfRule>
    <cfRule type="containsText" dxfId="256" priority="6" operator="containsText" text="co">
      <formula>NOT(ISERROR(SEARCH("co",C10)))</formula>
    </cfRule>
  </conditionalFormatting>
  <conditionalFormatting sqref="E14:F14">
    <cfRule type="containsText" dxfId="255" priority="3" operator="containsText" text="e">
      <formula>NOT(ISERROR(SEARCH("e",E14)))</formula>
    </cfRule>
    <cfRule type="containsText" dxfId="254" priority="4" operator="containsText" text="co">
      <formula>NOT(ISERROR(SEARCH("co",E14)))</formula>
    </cfRule>
  </conditionalFormatting>
  <conditionalFormatting sqref="C7">
    <cfRule type="containsText" dxfId="253" priority="1" operator="containsText" text="e">
      <formula>NOT(ISERROR(SEARCH("e",C7)))</formula>
    </cfRule>
    <cfRule type="containsText" dxfId="252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A18" sqref="AA18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51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33">
        <v>1</v>
      </c>
      <c r="D4" s="33">
        <v>2</v>
      </c>
      <c r="E4" s="33">
        <v>3</v>
      </c>
      <c r="F4" s="33">
        <v>4</v>
      </c>
      <c r="G4" s="33">
        <v>5</v>
      </c>
      <c r="H4" s="33">
        <v>6</v>
      </c>
      <c r="I4" s="33">
        <v>7</v>
      </c>
      <c r="J4" s="33">
        <v>8</v>
      </c>
      <c r="K4" s="33">
        <v>9</v>
      </c>
      <c r="L4" s="33">
        <v>10</v>
      </c>
      <c r="M4" s="33">
        <v>11</v>
      </c>
      <c r="N4" s="33">
        <v>12</v>
      </c>
      <c r="O4" s="33">
        <v>13</v>
      </c>
      <c r="P4" s="33">
        <v>14</v>
      </c>
      <c r="Q4" s="33">
        <v>15</v>
      </c>
      <c r="R4" s="33">
        <v>16</v>
      </c>
      <c r="S4" s="33">
        <v>17</v>
      </c>
      <c r="T4" s="33">
        <v>18</v>
      </c>
      <c r="U4" s="33">
        <v>19</v>
      </c>
      <c r="V4" s="33">
        <v>20</v>
      </c>
      <c r="W4" s="33">
        <v>21</v>
      </c>
      <c r="X4" s="33">
        <v>22</v>
      </c>
      <c r="Y4" s="33">
        <v>23</v>
      </c>
      <c r="Z4" s="33">
        <v>24</v>
      </c>
      <c r="AA4" s="33">
        <v>25</v>
      </c>
      <c r="AB4" s="33">
        <v>26</v>
      </c>
      <c r="AC4" s="33">
        <v>27</v>
      </c>
      <c r="AD4" s="33">
        <v>28</v>
      </c>
      <c r="AE4" s="33">
        <v>29</v>
      </c>
      <c r="AF4" s="33">
        <v>30</v>
      </c>
      <c r="AG4" s="33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33" t="s">
        <v>3</v>
      </c>
      <c r="D5" s="33" t="s">
        <v>4</v>
      </c>
      <c r="E5" s="33" t="s">
        <v>5</v>
      </c>
      <c r="F5" s="33" t="s">
        <v>6</v>
      </c>
      <c r="G5" s="33" t="s">
        <v>0</v>
      </c>
      <c r="H5" s="33" t="s">
        <v>1</v>
      </c>
      <c r="I5" s="33" t="s">
        <v>2</v>
      </c>
      <c r="J5" s="33" t="s">
        <v>3</v>
      </c>
      <c r="K5" s="33" t="s">
        <v>4</v>
      </c>
      <c r="L5" s="33" t="s">
        <v>5</v>
      </c>
      <c r="M5" s="33" t="s">
        <v>6</v>
      </c>
      <c r="N5" s="33" t="s">
        <v>0</v>
      </c>
      <c r="O5" s="33" t="s">
        <v>1</v>
      </c>
      <c r="P5" s="33" t="s">
        <v>2</v>
      </c>
      <c r="Q5" s="33" t="s">
        <v>3</v>
      </c>
      <c r="R5" s="33" t="s">
        <v>4</v>
      </c>
      <c r="S5" s="33" t="s">
        <v>5</v>
      </c>
      <c r="T5" s="33" t="s">
        <v>6</v>
      </c>
      <c r="U5" s="33" t="s">
        <v>0</v>
      </c>
      <c r="V5" s="33" t="s">
        <v>1</v>
      </c>
      <c r="W5" s="33" t="s">
        <v>2</v>
      </c>
      <c r="X5" s="33" t="s">
        <v>3</v>
      </c>
      <c r="Y5" s="33" t="s">
        <v>4</v>
      </c>
      <c r="Z5" s="33" t="s">
        <v>5</v>
      </c>
      <c r="AA5" s="33" t="s">
        <v>6</v>
      </c>
      <c r="AB5" s="33" t="s">
        <v>0</v>
      </c>
      <c r="AC5" s="33" t="s">
        <v>1</v>
      </c>
      <c r="AD5" s="33" t="s">
        <v>2</v>
      </c>
      <c r="AE5" s="33" t="s">
        <v>3</v>
      </c>
      <c r="AF5" s="33" t="s">
        <v>4</v>
      </c>
      <c r="AG5" s="33" t="s">
        <v>5</v>
      </c>
      <c r="AH5" s="56"/>
      <c r="AI5" s="56"/>
      <c r="AJ5" s="56"/>
    </row>
    <row r="6" spans="1:36" ht="20.100000000000001" customHeight="1" x14ac:dyDescent="0.25">
      <c r="A6" s="19">
        <f>'FEB24'!A6+'FEB24'!AI6+'FEB24'!AJ6-'FEB24'!AH6</f>
        <v>6</v>
      </c>
      <c r="B6" s="33" t="str">
        <f>Jan!B6</f>
        <v>KC Tirkey</v>
      </c>
      <c r="C6" s="2" t="s">
        <v>39</v>
      </c>
      <c r="D6" s="2"/>
      <c r="E6" s="2" t="s">
        <v>40</v>
      </c>
      <c r="F6" s="3"/>
      <c r="G6" s="3" t="s">
        <v>39</v>
      </c>
      <c r="H6" s="2" t="s">
        <v>39</v>
      </c>
      <c r="I6" s="3"/>
      <c r="J6" s="3" t="s">
        <v>39</v>
      </c>
      <c r="K6" s="3"/>
      <c r="L6" s="2" t="s">
        <v>39</v>
      </c>
      <c r="M6" s="3" t="s">
        <v>39</v>
      </c>
      <c r="N6" s="3" t="s">
        <v>39</v>
      </c>
      <c r="O6" s="2" t="s">
        <v>39</v>
      </c>
      <c r="P6" s="2" t="s">
        <v>39</v>
      </c>
      <c r="Q6" s="2"/>
      <c r="R6" s="2"/>
      <c r="S6" s="2"/>
      <c r="T6" s="3" t="s">
        <v>39</v>
      </c>
      <c r="U6" s="3"/>
      <c r="V6" s="2" t="s">
        <v>39</v>
      </c>
      <c r="W6" s="2"/>
      <c r="X6" s="2"/>
      <c r="Y6" s="2"/>
      <c r="Z6" s="2"/>
      <c r="AA6" s="3"/>
      <c r="AB6" s="3"/>
      <c r="AC6" s="2" t="s">
        <v>39</v>
      </c>
      <c r="AD6" s="2" t="s">
        <v>39</v>
      </c>
      <c r="AE6" s="2"/>
      <c r="AF6" s="2"/>
      <c r="AG6" s="2"/>
      <c r="AH6" s="2">
        <f>COUNTIF(C6:AG6, "CO")</f>
        <v>1</v>
      </c>
      <c r="AI6" s="2">
        <f t="shared" ref="AI6:AI15" si="0">COUNTIF(C6:AG6, "E")</f>
        <v>13</v>
      </c>
      <c r="AJ6" s="2">
        <v>1</v>
      </c>
    </row>
    <row r="7" spans="1:36" ht="20.100000000000001" customHeight="1" x14ac:dyDescent="0.25">
      <c r="A7" s="19">
        <f>'FEB24'!A7+'FEB24'!AI7+'FEB24'!AJ7-'FEB24'!AH7</f>
        <v>22</v>
      </c>
      <c r="B7" s="33" t="str">
        <f>Jan!B7</f>
        <v>GN Madhei</v>
      </c>
      <c r="C7" s="2"/>
      <c r="D7" s="2"/>
      <c r="E7" s="2" t="s">
        <v>39</v>
      </c>
      <c r="F7" s="2"/>
      <c r="G7" s="2"/>
      <c r="H7" s="2"/>
      <c r="I7" s="2"/>
      <c r="J7" s="2" t="s">
        <v>39</v>
      </c>
      <c r="K7" s="2" t="s">
        <v>39</v>
      </c>
      <c r="L7" s="2"/>
      <c r="M7" s="3" t="s">
        <v>39</v>
      </c>
      <c r="N7" s="3"/>
      <c r="O7" s="3"/>
      <c r="P7" s="3"/>
      <c r="Q7" s="3"/>
      <c r="R7" s="2" t="s">
        <v>39</v>
      </c>
      <c r="S7" s="2"/>
      <c r="T7" s="3"/>
      <c r="U7" s="3"/>
      <c r="V7" s="2"/>
      <c r="W7" s="2" t="s">
        <v>39</v>
      </c>
      <c r="X7" s="2"/>
      <c r="Y7" s="2"/>
      <c r="Z7" s="2" t="s">
        <v>39</v>
      </c>
      <c r="AA7" s="3"/>
      <c r="AB7" s="3"/>
      <c r="AC7" s="2"/>
      <c r="AD7" s="2"/>
      <c r="AE7" s="2"/>
      <c r="AG7" s="2"/>
      <c r="AH7" s="2">
        <f>COUNTIF(C7:AG7, "CO")</f>
        <v>0</v>
      </c>
      <c r="AI7" s="2">
        <f t="shared" si="0"/>
        <v>7</v>
      </c>
      <c r="AJ7" s="2">
        <v>1</v>
      </c>
    </row>
    <row r="8" spans="1:36" ht="20.100000000000001" customHeight="1" x14ac:dyDescent="0.25">
      <c r="A8" s="19">
        <f>'FEB24'!A8+'FEB24'!AI8+'FEB24'!AJ8-'FEB24'!AH8</f>
        <v>69</v>
      </c>
      <c r="B8" s="33" t="str">
        <f>Jan!B18</f>
        <v>S K Sahoo</v>
      </c>
      <c r="C8" s="2" t="s">
        <v>40</v>
      </c>
      <c r="D8" s="2" t="s">
        <v>40</v>
      </c>
      <c r="E8" s="2" t="s">
        <v>40</v>
      </c>
      <c r="F8" s="3"/>
      <c r="G8" s="3" t="s">
        <v>40</v>
      </c>
      <c r="H8" s="2" t="s">
        <v>40</v>
      </c>
      <c r="I8" s="2" t="s">
        <v>40</v>
      </c>
      <c r="J8" s="2" t="s">
        <v>40</v>
      </c>
      <c r="K8" s="2" t="s">
        <v>39</v>
      </c>
      <c r="L8" s="2" t="s">
        <v>39</v>
      </c>
      <c r="M8" s="3"/>
      <c r="N8" s="3" t="s">
        <v>39</v>
      </c>
      <c r="O8" s="3"/>
      <c r="P8" s="3"/>
      <c r="Q8" s="3"/>
      <c r="R8" s="2"/>
      <c r="S8" s="2"/>
      <c r="T8" s="3"/>
      <c r="U8" s="3" t="s">
        <v>40</v>
      </c>
      <c r="V8" s="2" t="s">
        <v>40</v>
      </c>
      <c r="W8" s="2"/>
      <c r="X8" s="2" t="s">
        <v>39</v>
      </c>
      <c r="Y8" s="2"/>
      <c r="Z8" s="2"/>
      <c r="AA8" s="3"/>
      <c r="AB8" s="3"/>
      <c r="AC8" s="2"/>
      <c r="AD8" s="2"/>
      <c r="AE8" s="2"/>
      <c r="AF8" s="2"/>
      <c r="AG8" s="2"/>
      <c r="AH8" s="2">
        <f>COUNTIF(C8:AG8, "CO")</f>
        <v>9</v>
      </c>
      <c r="AI8" s="2">
        <f t="shared" si="0"/>
        <v>4</v>
      </c>
      <c r="AJ8" s="2">
        <v>1</v>
      </c>
    </row>
    <row r="9" spans="1:36" ht="20.100000000000001" customHeight="1" x14ac:dyDescent="0.25">
      <c r="A9" s="19">
        <f>'FEB24'!A9+'FEB24'!AI9+'FEB24'!AJ9-'FEB24'!AH9</f>
        <v>51</v>
      </c>
      <c r="B9" s="33" t="str">
        <f>Jan!B9</f>
        <v>S Lakra</v>
      </c>
      <c r="C9" s="2"/>
      <c r="D9" s="2"/>
      <c r="E9" s="2"/>
      <c r="F9" s="3"/>
      <c r="G9" s="3"/>
      <c r="H9" s="2"/>
      <c r="I9" s="2"/>
      <c r="J9" s="2"/>
      <c r="K9" s="2" t="s">
        <v>39</v>
      </c>
      <c r="L9" s="2"/>
      <c r="M9" s="3" t="s">
        <v>39</v>
      </c>
      <c r="N9" s="3"/>
      <c r="O9" s="2"/>
      <c r="P9" s="2"/>
      <c r="Q9" s="2"/>
      <c r="R9" s="2" t="s">
        <v>40</v>
      </c>
      <c r="S9" s="2" t="s">
        <v>40</v>
      </c>
      <c r="T9" s="3" t="s">
        <v>40</v>
      </c>
      <c r="U9" s="3"/>
      <c r="V9" s="2"/>
      <c r="W9" s="2" t="s">
        <v>40</v>
      </c>
      <c r="X9" s="2" t="s">
        <v>40</v>
      </c>
      <c r="Y9" s="2" t="s">
        <v>40</v>
      </c>
      <c r="Z9" s="2" t="s">
        <v>40</v>
      </c>
      <c r="AA9" s="3" t="s">
        <v>40</v>
      </c>
      <c r="AB9" s="3"/>
      <c r="AC9" s="2"/>
      <c r="AD9" s="2"/>
      <c r="AE9" s="2"/>
      <c r="AF9" s="2"/>
      <c r="AG9" s="2"/>
      <c r="AH9" s="2">
        <f>COUNTIF(C9:AG9, "CO")</f>
        <v>8</v>
      </c>
      <c r="AI9" s="2">
        <f t="shared" si="0"/>
        <v>2</v>
      </c>
      <c r="AJ9" s="2">
        <v>1</v>
      </c>
    </row>
    <row r="10" spans="1:36" ht="20.100000000000001" customHeight="1" x14ac:dyDescent="0.25">
      <c r="A10" s="19">
        <f>'FEB24'!A10+'FEB24'!AI10+'FEB24'!AJ10-'FEB24'!AH10</f>
        <v>43</v>
      </c>
      <c r="B10" s="33" t="str">
        <f>Jan!B10</f>
        <v>SK Maharana</v>
      </c>
      <c r="C10" s="3"/>
      <c r="D10" s="2"/>
      <c r="E10" s="2"/>
      <c r="F10" s="2"/>
      <c r="G10" s="2" t="s">
        <v>40</v>
      </c>
      <c r="H10" s="2" t="s">
        <v>40</v>
      </c>
      <c r="I10" s="2" t="s">
        <v>40</v>
      </c>
      <c r="J10" s="2"/>
      <c r="K10" s="2"/>
      <c r="L10" s="2"/>
      <c r="M10" s="3" t="s">
        <v>40</v>
      </c>
      <c r="N10" s="3"/>
      <c r="O10" s="2" t="s">
        <v>40</v>
      </c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 t="s">
        <v>39</v>
      </c>
      <c r="AB10" s="3"/>
      <c r="AC10" s="2"/>
      <c r="AD10" s="2"/>
      <c r="AE10" s="2"/>
      <c r="AF10" s="2"/>
      <c r="AG10" s="2"/>
      <c r="AH10" s="2">
        <f>COUNTIF(C10:AG10, "CO")</f>
        <v>5</v>
      </c>
      <c r="AI10" s="2">
        <f t="shared" si="0"/>
        <v>1</v>
      </c>
      <c r="AJ10" s="2">
        <v>1</v>
      </c>
    </row>
    <row r="11" spans="1:36" ht="20.100000000000001" customHeight="1" x14ac:dyDescent="0.25">
      <c r="A11" s="19">
        <f>'FEB24'!A11+'FEB24'!AI11+'FEB24'!AJ11-'FEB24'!AH11</f>
        <v>59</v>
      </c>
      <c r="B11" s="33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ref="AH11:AH15" si="1">COUNTIF(C11:AG11, "CO")</f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'FEB24'!A12+'FEB24'!AI12+'FEB24'!AJ12-'FEB24'!AH12</f>
        <v>62</v>
      </c>
      <c r="B12" s="33" t="str">
        <f>Jan!B16</f>
        <v>M Bishi</v>
      </c>
      <c r="C12" s="2"/>
      <c r="D12" s="2" t="s">
        <v>39</v>
      </c>
      <c r="E12" s="2"/>
      <c r="F12" s="3"/>
      <c r="G12" s="3"/>
      <c r="H12" s="2"/>
      <c r="I12" s="2"/>
      <c r="J12" s="2" t="s">
        <v>40</v>
      </c>
      <c r="K12" s="2" t="s">
        <v>40</v>
      </c>
      <c r="L12" s="2" t="s">
        <v>40</v>
      </c>
      <c r="M12" s="2" t="s">
        <v>40</v>
      </c>
      <c r="N12" s="2" t="s">
        <v>40</v>
      </c>
      <c r="O12" s="2" t="s">
        <v>40</v>
      </c>
      <c r="P12" s="2"/>
      <c r="Q12" s="2"/>
      <c r="R12" s="2"/>
      <c r="S12" s="2" t="s">
        <v>39</v>
      </c>
      <c r="T12" s="3"/>
      <c r="U12" s="3"/>
      <c r="V12" s="2" t="s">
        <v>39</v>
      </c>
      <c r="W12" s="2"/>
      <c r="X12" s="2"/>
      <c r="Y12" s="2"/>
      <c r="Z12" s="2"/>
      <c r="AA12" s="3"/>
      <c r="AB12" s="3"/>
      <c r="AC12" s="2"/>
      <c r="AD12" s="2" t="s">
        <v>40</v>
      </c>
      <c r="AE12" s="2" t="s">
        <v>40</v>
      </c>
      <c r="AF12" s="2" t="s">
        <v>40</v>
      </c>
      <c r="AG12" s="2"/>
      <c r="AH12" s="2">
        <f t="shared" si="1"/>
        <v>9</v>
      </c>
      <c r="AI12" s="2">
        <f t="shared" si="0"/>
        <v>3</v>
      </c>
      <c r="AJ12" s="2">
        <v>1</v>
      </c>
    </row>
    <row r="13" spans="1:36" ht="20.100000000000001" customHeight="1" x14ac:dyDescent="0.25">
      <c r="A13" s="19">
        <f>'FEB24'!A13+'FEB24'!AI13+'FEB24'!AJ13-'FEB24'!AH13</f>
        <v>16</v>
      </c>
      <c r="B13" s="33" t="str">
        <f>Jan!B17</f>
        <v>S C Behera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 t="s">
        <v>40</v>
      </c>
      <c r="AG13" s="2"/>
      <c r="AH13" s="2">
        <f t="shared" si="1"/>
        <v>1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'FEB24'!A14+'FEB24'!AI14+'FEB24'!AJ14-'FEB24'!AH14</f>
        <v>18</v>
      </c>
      <c r="B14" s="33" t="str">
        <f>Jan!B14</f>
        <v>PK Sahoo Jr</v>
      </c>
      <c r="C14" s="2"/>
      <c r="D14" s="2"/>
      <c r="E14" s="3"/>
      <c r="F14" s="3"/>
      <c r="G14" s="2" t="s">
        <v>40</v>
      </c>
      <c r="H14" s="2" t="s">
        <v>40</v>
      </c>
      <c r="I14" s="2"/>
      <c r="J14" s="2"/>
      <c r="K14" s="2"/>
      <c r="L14" s="2" t="s">
        <v>40</v>
      </c>
      <c r="M14" s="3" t="s">
        <v>40</v>
      </c>
      <c r="N14" s="3" t="s">
        <v>40</v>
      </c>
      <c r="O14" s="2" t="s">
        <v>40</v>
      </c>
      <c r="P14" s="2" t="s">
        <v>40</v>
      </c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si="1"/>
        <v>7</v>
      </c>
      <c r="AI14" s="2">
        <f t="shared" si="0"/>
        <v>0</v>
      </c>
      <c r="AJ14" s="2">
        <v>1</v>
      </c>
    </row>
    <row r="15" spans="1:36" ht="20.100000000000001" customHeight="1" x14ac:dyDescent="0.25">
      <c r="A15" s="19">
        <f>'FEB24'!A15+'FEB24'!AI15+'FEB24'!AJ15-'FEB24'!AH15</f>
        <v>46</v>
      </c>
      <c r="B15" s="33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4:A5"/>
    <mergeCell ref="B4:B5"/>
    <mergeCell ref="AH4:AH5"/>
    <mergeCell ref="AI4:AI5"/>
    <mergeCell ref="AJ4:AJ5"/>
    <mergeCell ref="C16:AH16"/>
    <mergeCell ref="AF21:AF23"/>
    <mergeCell ref="AE1:AH1"/>
  </mergeCells>
  <conditionalFormatting sqref="C9:AG9 D7:L7 AG7 O6:AG6 C6:K6 R7:AE7 C8:L8 N8 R8:AG8 D10:AG10 C15:AG15 C14:D14 G14:AG14 C11:AG13">
    <cfRule type="containsText" dxfId="251" priority="17" operator="containsText" text="e">
      <formula>NOT(ISERROR(SEARCH("e",C6)))</formula>
    </cfRule>
    <cfRule type="containsText" dxfId="250" priority="18" operator="containsText" text="co">
      <formula>NOT(ISERROR(SEARCH("co",C6)))</formula>
    </cfRule>
  </conditionalFormatting>
  <conditionalFormatting sqref="L6">
    <cfRule type="containsText" dxfId="249" priority="15" operator="containsText" text="e">
      <formula>NOT(ISERROR(SEARCH("e",L6)))</formula>
    </cfRule>
    <cfRule type="containsText" dxfId="248" priority="16" operator="containsText" text="co">
      <formula>NOT(ISERROR(SEARCH("co",L6)))</formula>
    </cfRule>
  </conditionalFormatting>
  <conditionalFormatting sqref="M6:N6">
    <cfRule type="containsText" dxfId="247" priority="13" operator="containsText" text="e">
      <formula>NOT(ISERROR(SEARCH("e",M6)))</formula>
    </cfRule>
    <cfRule type="containsText" dxfId="246" priority="14" operator="containsText" text="co">
      <formula>NOT(ISERROR(SEARCH("co",M6)))</formula>
    </cfRule>
  </conditionalFormatting>
  <conditionalFormatting sqref="M7:Q7">
    <cfRule type="containsText" dxfId="245" priority="11" operator="containsText" text="e">
      <formula>NOT(ISERROR(SEARCH("e",M7)))</formula>
    </cfRule>
    <cfRule type="containsText" dxfId="244" priority="12" operator="containsText" text="co">
      <formula>NOT(ISERROR(SEARCH("co",M7)))</formula>
    </cfRule>
  </conditionalFormatting>
  <conditionalFormatting sqref="M8">
    <cfRule type="containsText" dxfId="243" priority="9" operator="containsText" text="e">
      <formula>NOT(ISERROR(SEARCH("e",M8)))</formula>
    </cfRule>
    <cfRule type="containsText" dxfId="242" priority="10" operator="containsText" text="co">
      <formula>NOT(ISERROR(SEARCH("co",M8)))</formula>
    </cfRule>
  </conditionalFormatting>
  <conditionalFormatting sqref="O8:Q8">
    <cfRule type="containsText" dxfId="241" priority="7" operator="containsText" text="e">
      <formula>NOT(ISERROR(SEARCH("e",O8)))</formula>
    </cfRule>
    <cfRule type="containsText" dxfId="240" priority="8" operator="containsText" text="co">
      <formula>NOT(ISERROR(SEARCH("co",O8)))</formula>
    </cfRule>
  </conditionalFormatting>
  <conditionalFormatting sqref="C10">
    <cfRule type="containsText" dxfId="239" priority="5" operator="containsText" text="e">
      <formula>NOT(ISERROR(SEARCH("e",C10)))</formula>
    </cfRule>
    <cfRule type="containsText" dxfId="238" priority="6" operator="containsText" text="co">
      <formula>NOT(ISERROR(SEARCH("co",C10)))</formula>
    </cfRule>
  </conditionalFormatting>
  <conditionalFormatting sqref="E14:F14">
    <cfRule type="containsText" dxfId="237" priority="3" operator="containsText" text="e">
      <formula>NOT(ISERROR(SEARCH("e",E14)))</formula>
    </cfRule>
    <cfRule type="containsText" dxfId="236" priority="4" operator="containsText" text="co">
      <formula>NOT(ISERROR(SEARCH("co",E14)))</formula>
    </cfRule>
  </conditionalFormatting>
  <conditionalFormatting sqref="C7">
    <cfRule type="containsText" dxfId="235" priority="1" operator="containsText" text="e">
      <formula>NOT(ISERROR(SEARCH("e",C7)))</formula>
    </cfRule>
    <cfRule type="containsText" dxfId="234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9" sqref="A9:XFD9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53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34">
        <v>1</v>
      </c>
      <c r="D4" s="34">
        <v>2</v>
      </c>
      <c r="E4" s="34">
        <v>3</v>
      </c>
      <c r="F4" s="34">
        <v>4</v>
      </c>
      <c r="G4" s="34">
        <v>5</v>
      </c>
      <c r="H4" s="34">
        <v>6</v>
      </c>
      <c r="I4" s="34">
        <v>7</v>
      </c>
      <c r="J4" s="34">
        <v>8</v>
      </c>
      <c r="K4" s="34">
        <v>9</v>
      </c>
      <c r="L4" s="34">
        <v>10</v>
      </c>
      <c r="M4" s="34">
        <v>11</v>
      </c>
      <c r="N4" s="34">
        <v>12</v>
      </c>
      <c r="O4" s="34">
        <v>13</v>
      </c>
      <c r="P4" s="34">
        <v>14</v>
      </c>
      <c r="Q4" s="34">
        <v>15</v>
      </c>
      <c r="R4" s="34">
        <v>16</v>
      </c>
      <c r="S4" s="34">
        <v>17</v>
      </c>
      <c r="T4" s="34">
        <v>18</v>
      </c>
      <c r="U4" s="34">
        <v>19</v>
      </c>
      <c r="V4" s="34">
        <v>20</v>
      </c>
      <c r="W4" s="34">
        <v>21</v>
      </c>
      <c r="X4" s="34">
        <v>22</v>
      </c>
      <c r="Y4" s="34">
        <v>23</v>
      </c>
      <c r="Z4" s="34">
        <v>24</v>
      </c>
      <c r="AA4" s="34">
        <v>25</v>
      </c>
      <c r="AB4" s="34">
        <v>26</v>
      </c>
      <c r="AC4" s="34">
        <v>27</v>
      </c>
      <c r="AD4" s="34">
        <v>28</v>
      </c>
      <c r="AE4" s="34">
        <v>29</v>
      </c>
      <c r="AF4" s="34">
        <v>30</v>
      </c>
      <c r="AG4" s="34"/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34" t="s">
        <v>6</v>
      </c>
      <c r="D5" s="34" t="s">
        <v>0</v>
      </c>
      <c r="E5" s="35" t="s">
        <v>1</v>
      </c>
      <c r="F5" s="35" t="s">
        <v>2</v>
      </c>
      <c r="G5" s="35" t="s">
        <v>3</v>
      </c>
      <c r="H5" s="35" t="s">
        <v>4</v>
      </c>
      <c r="I5" s="35" t="s">
        <v>5</v>
      </c>
      <c r="J5" s="35" t="s">
        <v>6</v>
      </c>
      <c r="K5" s="35" t="s">
        <v>0</v>
      </c>
      <c r="L5" s="35" t="s">
        <v>1</v>
      </c>
      <c r="M5" s="35" t="s">
        <v>2</v>
      </c>
      <c r="N5" s="35" t="s">
        <v>3</v>
      </c>
      <c r="O5" s="35" t="s">
        <v>4</v>
      </c>
      <c r="P5" s="35" t="s">
        <v>5</v>
      </c>
      <c r="Q5" s="35" t="s">
        <v>6</v>
      </c>
      <c r="R5" s="35" t="s">
        <v>0</v>
      </c>
      <c r="S5" s="35" t="s">
        <v>1</v>
      </c>
      <c r="T5" s="35" t="s">
        <v>2</v>
      </c>
      <c r="U5" s="35" t="s">
        <v>3</v>
      </c>
      <c r="V5" s="35" t="s">
        <v>4</v>
      </c>
      <c r="W5" s="35" t="s">
        <v>5</v>
      </c>
      <c r="X5" s="35" t="s">
        <v>6</v>
      </c>
      <c r="Y5" s="35" t="s">
        <v>0</v>
      </c>
      <c r="Z5" s="35" t="s">
        <v>1</v>
      </c>
      <c r="AA5" s="35" t="s">
        <v>2</v>
      </c>
      <c r="AB5" s="35" t="s">
        <v>3</v>
      </c>
      <c r="AC5" s="35" t="s">
        <v>4</v>
      </c>
      <c r="AD5" s="35" t="s">
        <v>5</v>
      </c>
      <c r="AE5" s="35" t="s">
        <v>6</v>
      </c>
      <c r="AF5" s="35" t="s">
        <v>0</v>
      </c>
      <c r="AG5" s="34"/>
      <c r="AH5" s="56"/>
      <c r="AI5" s="56"/>
      <c r="AJ5" s="56"/>
    </row>
    <row r="6" spans="1:36" ht="20.100000000000001" customHeight="1" x14ac:dyDescent="0.25">
      <c r="A6" s="19">
        <f>'mAR24'!A6+'mAR24'!AI6+'mAR24'!AJ6-'mAR24'!AH6</f>
        <v>19</v>
      </c>
      <c r="B6" s="34" t="str">
        <f>Jan!B6</f>
        <v>KC Tirkey</v>
      </c>
      <c r="C6" s="2"/>
      <c r="D6" s="2"/>
      <c r="E6" s="2" t="s">
        <v>40</v>
      </c>
      <c r="F6" s="2" t="s">
        <v>40</v>
      </c>
      <c r="G6" s="2" t="s">
        <v>40</v>
      </c>
      <c r="H6" s="2"/>
      <c r="I6" s="3" t="s">
        <v>40</v>
      </c>
      <c r="J6" s="3" t="s">
        <v>40</v>
      </c>
      <c r="K6" s="3" t="s">
        <v>40</v>
      </c>
      <c r="L6" s="2"/>
      <c r="M6" s="3"/>
      <c r="N6" s="3"/>
      <c r="O6" s="2"/>
      <c r="P6" s="2"/>
      <c r="Q6" s="2"/>
      <c r="R6" s="2"/>
      <c r="S6" s="2"/>
      <c r="T6" s="3"/>
      <c r="U6" s="3" t="s">
        <v>39</v>
      </c>
      <c r="V6" s="2"/>
      <c r="W6" s="2"/>
      <c r="X6" s="2"/>
      <c r="Y6" s="2"/>
      <c r="Z6" s="2" t="s">
        <v>40</v>
      </c>
      <c r="AA6" s="3" t="s">
        <v>40</v>
      </c>
      <c r="AB6" s="3" t="s">
        <v>40</v>
      </c>
      <c r="AC6" s="2"/>
      <c r="AD6" s="2" t="s">
        <v>40</v>
      </c>
      <c r="AE6" s="2" t="s">
        <v>40</v>
      </c>
      <c r="AF6" s="2" t="s">
        <v>40</v>
      </c>
      <c r="AG6" s="2"/>
      <c r="AH6" s="2">
        <f>COUNTIF(C6:AG6, "CO")</f>
        <v>12</v>
      </c>
      <c r="AI6" s="2">
        <f t="shared" ref="AI6:AI15" si="0">COUNTIF(C6:AG6, "E")</f>
        <v>1</v>
      </c>
      <c r="AJ6" s="2">
        <v>1</v>
      </c>
    </row>
    <row r="7" spans="1:36" ht="20.100000000000001" customHeight="1" x14ac:dyDescent="0.25">
      <c r="A7" s="19">
        <f>'mAR24'!A7+'mAR24'!AI7+'mAR24'!AJ7-'mAR24'!AH7</f>
        <v>30</v>
      </c>
      <c r="B7" s="34" t="str">
        <f>Jan!B7</f>
        <v>GN Madhei</v>
      </c>
      <c r="C7" s="2"/>
      <c r="D7" s="2"/>
      <c r="E7" s="2"/>
      <c r="F7" s="2" t="s">
        <v>40</v>
      </c>
      <c r="G7" s="2" t="s">
        <v>40</v>
      </c>
      <c r="H7" s="2" t="s">
        <v>40</v>
      </c>
      <c r="I7" s="2" t="s">
        <v>40</v>
      </c>
      <c r="J7" s="2" t="s">
        <v>40</v>
      </c>
      <c r="K7" s="2" t="s">
        <v>40</v>
      </c>
      <c r="L7" s="2"/>
      <c r="M7" s="3" t="s">
        <v>40</v>
      </c>
      <c r="N7" s="3"/>
      <c r="O7" s="3"/>
      <c r="P7" s="3"/>
      <c r="Q7" s="3"/>
      <c r="R7" s="2"/>
      <c r="S7" s="2"/>
      <c r="T7" s="3"/>
      <c r="U7" s="3"/>
      <c r="V7" s="2" t="s">
        <v>39</v>
      </c>
      <c r="W7" s="2"/>
      <c r="X7" s="2"/>
      <c r="Y7" s="2" t="s">
        <v>39</v>
      </c>
      <c r="Z7" s="2"/>
      <c r="AA7" s="3"/>
      <c r="AB7" s="3"/>
      <c r="AC7" s="2" t="s">
        <v>39</v>
      </c>
      <c r="AD7" s="2" t="s">
        <v>39</v>
      </c>
      <c r="AE7" s="2" t="s">
        <v>39</v>
      </c>
      <c r="AF7" s="2" t="s">
        <v>39</v>
      </c>
      <c r="AG7" s="2"/>
      <c r="AH7" s="2">
        <f>COUNTIF(C7:AG7, "CO")</f>
        <v>7</v>
      </c>
      <c r="AI7" s="2">
        <f t="shared" si="0"/>
        <v>6</v>
      </c>
      <c r="AJ7" s="2">
        <v>1</v>
      </c>
    </row>
    <row r="8" spans="1:36" ht="20.100000000000001" customHeight="1" x14ac:dyDescent="0.25">
      <c r="A8" s="19">
        <f>'mAR24'!A8+'mAR24'!AI8+'mAR24'!AJ8-'mAR24'!AH8</f>
        <v>65</v>
      </c>
      <c r="B8" s="34" t="str">
        <f>Jan!B18</f>
        <v>S K Sahoo</v>
      </c>
      <c r="C8" s="2"/>
      <c r="D8" s="2"/>
      <c r="E8" s="2"/>
      <c r="F8" s="3"/>
      <c r="G8" s="3"/>
      <c r="H8" s="2"/>
      <c r="I8" s="2" t="s">
        <v>39</v>
      </c>
      <c r="J8" s="2" t="s">
        <v>39</v>
      </c>
      <c r="K8" s="2"/>
      <c r="L8" s="2"/>
      <c r="M8" s="3"/>
      <c r="N8" s="3"/>
      <c r="O8" s="3"/>
      <c r="P8" s="3"/>
      <c r="Q8" s="3"/>
      <c r="R8" s="2"/>
      <c r="S8" s="2"/>
      <c r="T8" s="3"/>
      <c r="U8" s="3"/>
      <c r="V8" s="2"/>
      <c r="W8" s="2" t="s">
        <v>39</v>
      </c>
      <c r="X8" s="2"/>
      <c r="Y8" s="2"/>
      <c r="Z8" s="2"/>
      <c r="AA8" s="3"/>
      <c r="AB8" s="3" t="s">
        <v>39</v>
      </c>
      <c r="AC8" s="2"/>
      <c r="AD8" s="2" t="s">
        <v>39</v>
      </c>
      <c r="AE8" s="2" t="s">
        <v>39</v>
      </c>
      <c r="AF8" s="2"/>
      <c r="AG8" s="2"/>
      <c r="AH8" s="2">
        <f>COUNTIF(C8:AG8, "CO")</f>
        <v>0</v>
      </c>
      <c r="AI8" s="2">
        <f t="shared" si="0"/>
        <v>6</v>
      </c>
      <c r="AJ8" s="2">
        <v>1</v>
      </c>
    </row>
    <row r="9" spans="1:36" ht="20.100000000000001" customHeight="1" x14ac:dyDescent="0.25">
      <c r="A9" s="19">
        <f>'mAR24'!A9+'mAR24'!AI9+'mAR24'!AJ9-'mAR24'!AH9</f>
        <v>46</v>
      </c>
      <c r="B9" s="34" t="str">
        <f>Jan!B9</f>
        <v>S Lakra</v>
      </c>
      <c r="C9" s="2"/>
      <c r="D9" s="2"/>
      <c r="E9" s="2" t="s">
        <v>39</v>
      </c>
      <c r="F9" s="3"/>
      <c r="G9" s="3" t="s">
        <v>39</v>
      </c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/>
      <c r="X9" s="2"/>
      <c r="Y9" s="2"/>
      <c r="Z9" s="2" t="s">
        <v>39</v>
      </c>
      <c r="AA9" s="3" t="s">
        <v>39</v>
      </c>
      <c r="AB9" s="3"/>
      <c r="AC9" s="2" t="s">
        <v>39</v>
      </c>
      <c r="AD9" s="2"/>
      <c r="AE9" s="2"/>
      <c r="AF9" s="2"/>
      <c r="AG9" s="2"/>
      <c r="AH9" s="2">
        <f>COUNTIF(C9:AG9, "CO")</f>
        <v>0</v>
      </c>
      <c r="AI9" s="2">
        <f t="shared" si="0"/>
        <v>5</v>
      </c>
      <c r="AJ9" s="2">
        <v>1</v>
      </c>
    </row>
    <row r="10" spans="1:36" ht="20.100000000000001" customHeight="1" x14ac:dyDescent="0.25">
      <c r="A10" s="19">
        <f>'mAR24'!A10+'mAR24'!AI10+'mAR24'!AJ10-'mAR24'!AH10</f>
        <v>40</v>
      </c>
      <c r="B10" s="34" t="str">
        <f>Jan!B10</f>
        <v>SK Maharana</v>
      </c>
      <c r="C10" s="3"/>
      <c r="D10" s="2"/>
      <c r="E10" s="2"/>
      <c r="F10" s="2" t="s">
        <v>39</v>
      </c>
      <c r="G10" s="2"/>
      <c r="H10" s="2"/>
      <c r="I10" s="2"/>
      <c r="J10" s="2"/>
      <c r="K10" s="2" t="s">
        <v>39</v>
      </c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>COUNTIF(C10:AG10, "CO")</f>
        <v>0</v>
      </c>
      <c r="AI10" s="2">
        <f t="shared" si="0"/>
        <v>2</v>
      </c>
      <c r="AJ10" s="2">
        <v>1</v>
      </c>
    </row>
    <row r="11" spans="1:36" ht="20.100000000000001" customHeight="1" x14ac:dyDescent="0.25">
      <c r="A11" s="19">
        <v>28</v>
      </c>
      <c r="B11" s="34" t="str">
        <f>Jan!B19</f>
        <v>A K Dalai</v>
      </c>
      <c r="C11" s="2"/>
      <c r="D11" s="2"/>
      <c r="E11" s="2"/>
      <c r="F11" s="3" t="s">
        <v>39</v>
      </c>
      <c r="G11" s="3" t="s">
        <v>39</v>
      </c>
      <c r="H11" s="2"/>
      <c r="I11" s="2" t="s">
        <v>39</v>
      </c>
      <c r="J11" s="2"/>
      <c r="K11" s="2"/>
      <c r="L11" s="2" t="s">
        <v>39</v>
      </c>
      <c r="M11" s="3"/>
      <c r="N11" s="3"/>
      <c r="O11" s="2"/>
      <c r="P11" s="2"/>
      <c r="Q11" s="2"/>
      <c r="R11" s="2"/>
      <c r="S11" s="2"/>
      <c r="T11" s="3"/>
      <c r="U11" s="3" t="s">
        <v>40</v>
      </c>
      <c r="V11" s="3" t="s">
        <v>40</v>
      </c>
      <c r="W11" s="3" t="s">
        <v>40</v>
      </c>
      <c r="X11" s="2"/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  <c r="AD11" s="2" t="s">
        <v>40</v>
      </c>
      <c r="AE11" s="2"/>
      <c r="AF11" s="2"/>
      <c r="AG11" s="2"/>
      <c r="AH11" s="2">
        <f t="shared" ref="AH11:AH15" si="1">COUNTIF(C11:AG11, "CO")</f>
        <v>9</v>
      </c>
      <c r="AI11" s="2">
        <f t="shared" si="0"/>
        <v>4</v>
      </c>
      <c r="AJ11" s="2">
        <v>1</v>
      </c>
    </row>
    <row r="12" spans="1:36" ht="20.100000000000001" customHeight="1" x14ac:dyDescent="0.25">
      <c r="A12" s="19">
        <f>'mAR24'!A11+'mAR24'!AI11+'mAR24'!AJ11-'mAR24'!AH11-2</f>
        <v>58</v>
      </c>
      <c r="B12" s="34" t="str">
        <f>Jan!B12</f>
        <v>RK Singh</v>
      </c>
      <c r="C12" s="2"/>
      <c r="D12" s="2"/>
      <c r="E12" s="2"/>
      <c r="F12" s="3" t="s">
        <v>40</v>
      </c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1</v>
      </c>
      <c r="AI12" s="2">
        <f t="shared" si="0"/>
        <v>0</v>
      </c>
      <c r="AJ12" s="2">
        <v>1</v>
      </c>
    </row>
    <row r="13" spans="1:36" ht="20.100000000000001" customHeight="1" x14ac:dyDescent="0.25">
      <c r="A13" s="19">
        <f>'mAR24'!A12+'mAR24'!AI12+'mAR24'!AJ12-'mAR24'!AH12</f>
        <v>57</v>
      </c>
      <c r="B13" s="34" t="str">
        <f>Jan!B16</f>
        <v>M Bishi</v>
      </c>
      <c r="C13" s="2"/>
      <c r="D13" s="2"/>
      <c r="E13" s="2"/>
      <c r="F13" s="3"/>
      <c r="G13" s="3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 t="s">
        <v>40</v>
      </c>
      <c r="AE13" s="2" t="s">
        <v>40</v>
      </c>
      <c r="AF13" s="2" t="s">
        <v>40</v>
      </c>
      <c r="AG13" s="2"/>
      <c r="AH13" s="2">
        <f t="shared" si="1"/>
        <v>3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'mAR24'!A13+'mAR24'!AI13+'mAR24'!AJ13-'mAR24'!AH13</f>
        <v>16</v>
      </c>
      <c r="B14" s="34" t="str">
        <f>Jan!B17</f>
        <v>S C Behera</v>
      </c>
      <c r="C14" s="2"/>
      <c r="D14" s="2"/>
      <c r="E14" s="3"/>
      <c r="F14" s="3"/>
      <c r="G14" s="2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 t="s">
        <v>40</v>
      </c>
      <c r="AA14" s="3"/>
      <c r="AB14" s="3"/>
      <c r="AC14" s="2"/>
      <c r="AD14" s="2"/>
      <c r="AE14" s="2"/>
      <c r="AF14" s="2"/>
      <c r="AG14" s="2"/>
      <c r="AH14" s="2">
        <f t="shared" si="1"/>
        <v>1</v>
      </c>
      <c r="AI14" s="2">
        <f t="shared" si="0"/>
        <v>0</v>
      </c>
      <c r="AJ14" s="2">
        <v>1</v>
      </c>
    </row>
    <row r="15" spans="1:36" ht="20.100000000000001" customHeight="1" x14ac:dyDescent="0.25">
      <c r="A15" s="19">
        <f>'mAR24'!A15+'mAR24'!AI15+'mAR24'!AJ15-'mAR24'!AH15</f>
        <v>47</v>
      </c>
      <c r="B15" s="34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I4:AI5"/>
    <mergeCell ref="AJ4:AJ5"/>
    <mergeCell ref="C16:AH16"/>
    <mergeCell ref="AF21:AF23"/>
    <mergeCell ref="AE1:AH1"/>
    <mergeCell ref="A4:A5"/>
    <mergeCell ref="B4:B5"/>
    <mergeCell ref="AH4:AH5"/>
  </mergeCells>
  <conditionalFormatting sqref="C9:AG9 O6:AG6 C8:L8 N8 D10:AG10 C15:AG15 C14:D14 G14:AG14 C6:K6 D7:L7 C11:AG13 R7:AG8">
    <cfRule type="containsText" dxfId="233" priority="17" operator="containsText" text="e">
      <formula>NOT(ISERROR(SEARCH("e",C6)))</formula>
    </cfRule>
    <cfRule type="containsText" dxfId="232" priority="18" operator="containsText" text="co">
      <formula>NOT(ISERROR(SEARCH("co",C6)))</formula>
    </cfRule>
  </conditionalFormatting>
  <conditionalFormatting sqref="L6">
    <cfRule type="containsText" dxfId="231" priority="15" operator="containsText" text="e">
      <formula>NOT(ISERROR(SEARCH("e",L6)))</formula>
    </cfRule>
    <cfRule type="containsText" dxfId="230" priority="16" operator="containsText" text="co">
      <formula>NOT(ISERROR(SEARCH("co",L6)))</formula>
    </cfRule>
  </conditionalFormatting>
  <conditionalFormatting sqref="M6:N6">
    <cfRule type="containsText" dxfId="229" priority="13" operator="containsText" text="e">
      <formula>NOT(ISERROR(SEARCH("e",M6)))</formula>
    </cfRule>
    <cfRule type="containsText" dxfId="228" priority="14" operator="containsText" text="co">
      <formula>NOT(ISERROR(SEARCH("co",M6)))</formula>
    </cfRule>
  </conditionalFormatting>
  <conditionalFormatting sqref="M7:Q7">
    <cfRule type="containsText" dxfId="227" priority="11" operator="containsText" text="e">
      <formula>NOT(ISERROR(SEARCH("e",M7)))</formula>
    </cfRule>
    <cfRule type="containsText" dxfId="226" priority="12" operator="containsText" text="co">
      <formula>NOT(ISERROR(SEARCH("co",M7)))</formula>
    </cfRule>
  </conditionalFormatting>
  <conditionalFormatting sqref="M8">
    <cfRule type="containsText" dxfId="225" priority="9" operator="containsText" text="e">
      <formula>NOT(ISERROR(SEARCH("e",M8)))</formula>
    </cfRule>
    <cfRule type="containsText" dxfId="224" priority="10" operator="containsText" text="co">
      <formula>NOT(ISERROR(SEARCH("co",M8)))</formula>
    </cfRule>
  </conditionalFormatting>
  <conditionalFormatting sqref="O8:Q8">
    <cfRule type="containsText" dxfId="223" priority="7" operator="containsText" text="e">
      <formula>NOT(ISERROR(SEARCH("e",O8)))</formula>
    </cfRule>
    <cfRule type="containsText" dxfId="222" priority="8" operator="containsText" text="co">
      <formula>NOT(ISERROR(SEARCH("co",O8)))</formula>
    </cfRule>
  </conditionalFormatting>
  <conditionalFormatting sqref="C10">
    <cfRule type="containsText" dxfId="221" priority="5" operator="containsText" text="e">
      <formula>NOT(ISERROR(SEARCH("e",C10)))</formula>
    </cfRule>
    <cfRule type="containsText" dxfId="220" priority="6" operator="containsText" text="co">
      <formula>NOT(ISERROR(SEARCH("co",C10)))</formula>
    </cfRule>
  </conditionalFormatting>
  <conditionalFormatting sqref="E14:F14">
    <cfRule type="containsText" dxfId="219" priority="3" operator="containsText" text="e">
      <formula>NOT(ISERROR(SEARCH("e",E14)))</formula>
    </cfRule>
    <cfRule type="containsText" dxfId="218" priority="4" operator="containsText" text="co">
      <formula>NOT(ISERROR(SEARCH("co",E14)))</formula>
    </cfRule>
  </conditionalFormatting>
  <conditionalFormatting sqref="C7">
    <cfRule type="containsText" dxfId="217" priority="1" operator="containsText" text="e">
      <formula>NOT(ISERROR(SEARCH("e",C7)))</formula>
    </cfRule>
    <cfRule type="containsText" dxfId="216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E1" sqref="AE1:AH1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72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35">
        <v>1</v>
      </c>
      <c r="D4" s="35">
        <v>2</v>
      </c>
      <c r="E4" s="35">
        <v>3</v>
      </c>
      <c r="F4" s="35">
        <v>4</v>
      </c>
      <c r="G4" s="35">
        <v>5</v>
      </c>
      <c r="H4" s="35">
        <v>6</v>
      </c>
      <c r="I4" s="35">
        <v>7</v>
      </c>
      <c r="J4" s="35">
        <v>8</v>
      </c>
      <c r="K4" s="35">
        <v>9</v>
      </c>
      <c r="L4" s="35">
        <v>10</v>
      </c>
      <c r="M4" s="35">
        <v>11</v>
      </c>
      <c r="N4" s="35">
        <v>12</v>
      </c>
      <c r="O4" s="35">
        <v>13</v>
      </c>
      <c r="P4" s="35">
        <v>14</v>
      </c>
      <c r="Q4" s="35">
        <v>15</v>
      </c>
      <c r="R4" s="35">
        <v>16</v>
      </c>
      <c r="S4" s="35">
        <v>17</v>
      </c>
      <c r="T4" s="35">
        <v>18</v>
      </c>
      <c r="U4" s="35">
        <v>19</v>
      </c>
      <c r="V4" s="35">
        <v>20</v>
      </c>
      <c r="W4" s="35">
        <v>21</v>
      </c>
      <c r="X4" s="35">
        <v>22</v>
      </c>
      <c r="Y4" s="35">
        <v>23</v>
      </c>
      <c r="Z4" s="35">
        <v>24</v>
      </c>
      <c r="AA4" s="35">
        <v>25</v>
      </c>
      <c r="AB4" s="35">
        <v>26</v>
      </c>
      <c r="AC4" s="35">
        <v>27</v>
      </c>
      <c r="AD4" s="35">
        <v>28</v>
      </c>
      <c r="AE4" s="35">
        <v>29</v>
      </c>
      <c r="AF4" s="35">
        <v>30</v>
      </c>
      <c r="AG4" s="35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35" t="s">
        <v>1</v>
      </c>
      <c r="D5" s="35" t="s">
        <v>2</v>
      </c>
      <c r="E5" s="35" t="s">
        <v>3</v>
      </c>
      <c r="F5" s="35" t="s">
        <v>4</v>
      </c>
      <c r="G5" s="35" t="s">
        <v>5</v>
      </c>
      <c r="H5" s="35" t="s">
        <v>6</v>
      </c>
      <c r="I5" s="35" t="s">
        <v>0</v>
      </c>
      <c r="J5" s="35" t="s">
        <v>1</v>
      </c>
      <c r="K5" s="35" t="s">
        <v>2</v>
      </c>
      <c r="L5" s="35" t="s">
        <v>3</v>
      </c>
      <c r="M5" s="35" t="s">
        <v>4</v>
      </c>
      <c r="N5" s="35" t="s">
        <v>5</v>
      </c>
      <c r="O5" s="35" t="s">
        <v>6</v>
      </c>
      <c r="P5" s="35" t="s">
        <v>0</v>
      </c>
      <c r="Q5" s="35" t="s">
        <v>1</v>
      </c>
      <c r="R5" s="35" t="s">
        <v>2</v>
      </c>
      <c r="S5" s="35" t="s">
        <v>3</v>
      </c>
      <c r="T5" s="35" t="s">
        <v>4</v>
      </c>
      <c r="U5" s="35" t="s">
        <v>5</v>
      </c>
      <c r="V5" s="35" t="s">
        <v>6</v>
      </c>
      <c r="W5" s="35" t="s">
        <v>0</v>
      </c>
      <c r="X5" s="35" t="s">
        <v>1</v>
      </c>
      <c r="Y5" s="35" t="s">
        <v>2</v>
      </c>
      <c r="Z5" s="35" t="s">
        <v>3</v>
      </c>
      <c r="AA5" s="35" t="s">
        <v>4</v>
      </c>
      <c r="AB5" s="35" t="s">
        <v>5</v>
      </c>
      <c r="AC5" s="35" t="s">
        <v>6</v>
      </c>
      <c r="AD5" s="35" t="s">
        <v>0</v>
      </c>
      <c r="AE5" s="35" t="s">
        <v>1</v>
      </c>
      <c r="AF5" s="35" t="s">
        <v>2</v>
      </c>
      <c r="AG5" s="35" t="s">
        <v>3</v>
      </c>
      <c r="AH5" s="56"/>
      <c r="AI5" s="56"/>
      <c r="AJ5" s="56"/>
    </row>
    <row r="6" spans="1:36" ht="20.100000000000001" customHeight="1" x14ac:dyDescent="0.25">
      <c r="A6" s="19">
        <f>'Apr24'!A6+'Apr24'!AI6+'Apr24'!AJ6-'Apr24'!AH6</f>
        <v>9</v>
      </c>
      <c r="B6" s="35" t="str">
        <f>Jan!B6</f>
        <v>KC Tirkey</v>
      </c>
      <c r="C6" s="2"/>
      <c r="D6" s="2"/>
      <c r="E6" s="2" t="s">
        <v>39</v>
      </c>
      <c r="F6" s="2"/>
      <c r="G6" s="2"/>
      <c r="H6" s="2"/>
      <c r="I6" s="3" t="s">
        <v>40</v>
      </c>
      <c r="J6" s="3" t="s">
        <v>40</v>
      </c>
      <c r="K6" s="3" t="s">
        <v>40</v>
      </c>
      <c r="L6" s="2" t="s">
        <v>40</v>
      </c>
      <c r="M6" s="3"/>
      <c r="N6" s="3"/>
      <c r="O6" s="2"/>
      <c r="P6" s="2"/>
      <c r="Q6" s="2"/>
      <c r="R6" s="2"/>
      <c r="S6" s="2" t="s">
        <v>39</v>
      </c>
      <c r="T6" s="3"/>
      <c r="U6" s="3" t="s">
        <v>39</v>
      </c>
      <c r="V6" s="2"/>
      <c r="W6" s="2" t="s">
        <v>39</v>
      </c>
      <c r="X6" s="2"/>
      <c r="Y6" s="2"/>
      <c r="Z6" s="2"/>
      <c r="AA6" s="3"/>
      <c r="AB6" s="3" t="s">
        <v>40</v>
      </c>
      <c r="AC6" s="2" t="s">
        <v>40</v>
      </c>
      <c r="AD6" s="2"/>
      <c r="AE6" s="2"/>
      <c r="AF6" s="2"/>
      <c r="AG6" s="2"/>
      <c r="AH6" s="2">
        <f>COUNTIF(C6:AG6, "CO")</f>
        <v>6</v>
      </c>
      <c r="AI6" s="2">
        <f t="shared" ref="AI6:AI15" si="0">COUNTIF(C6:AG6, "E")</f>
        <v>4</v>
      </c>
      <c r="AJ6" s="2">
        <v>1</v>
      </c>
    </row>
    <row r="7" spans="1:36" ht="20.100000000000001" customHeight="1" x14ac:dyDescent="0.25">
      <c r="A7" s="19">
        <f>'Apr24'!A7+'Apr24'!AI7+'Apr24'!AJ7-'Apr24'!AH7</f>
        <v>30</v>
      </c>
      <c r="B7" s="35" t="str">
        <f>Jan!B7</f>
        <v>GN Madhei</v>
      </c>
      <c r="C7" s="2"/>
      <c r="D7" s="2"/>
      <c r="E7" s="2"/>
      <c r="F7" s="2"/>
      <c r="G7" s="2"/>
      <c r="H7" s="2" t="s">
        <v>39</v>
      </c>
      <c r="I7" s="2"/>
      <c r="J7" s="2"/>
      <c r="K7" s="2" t="s">
        <v>39</v>
      </c>
      <c r="L7" s="2"/>
      <c r="M7" s="3"/>
      <c r="N7" s="3"/>
      <c r="O7" s="3"/>
      <c r="P7" s="3"/>
      <c r="Q7" s="3"/>
      <c r="R7" s="2" t="s">
        <v>40</v>
      </c>
      <c r="S7" s="2" t="s">
        <v>40</v>
      </c>
      <c r="T7" s="2" t="s">
        <v>40</v>
      </c>
      <c r="U7" s="2" t="s">
        <v>40</v>
      </c>
      <c r="V7" s="2" t="s">
        <v>40</v>
      </c>
      <c r="W7" s="2" t="s">
        <v>40</v>
      </c>
      <c r="X7" s="2"/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  <c r="AD7" s="2" t="s">
        <v>40</v>
      </c>
      <c r="AE7" s="2"/>
      <c r="AG7" s="2"/>
      <c r="AH7" s="2">
        <f>COUNTIF(C7:AG7, "CO")</f>
        <v>12</v>
      </c>
      <c r="AI7" s="2">
        <f t="shared" si="0"/>
        <v>2</v>
      </c>
      <c r="AJ7" s="2">
        <v>1</v>
      </c>
    </row>
    <row r="8" spans="1:36" ht="20.100000000000001" customHeight="1" x14ac:dyDescent="0.25">
      <c r="A8" s="19">
        <f>'Apr24'!A8+'Apr24'!AI8+'Apr24'!AJ8-'Apr24'!AH8</f>
        <v>72</v>
      </c>
      <c r="B8" s="35" t="str">
        <f>Jan!B18</f>
        <v>S K Sahoo</v>
      </c>
      <c r="C8" s="2"/>
      <c r="D8" s="2"/>
      <c r="E8" s="2"/>
      <c r="F8" s="3"/>
      <c r="G8" s="3"/>
      <c r="H8" s="2"/>
      <c r="I8" s="2"/>
      <c r="J8" s="2" t="s">
        <v>40</v>
      </c>
      <c r="K8" s="2" t="s">
        <v>40</v>
      </c>
      <c r="L8" s="2"/>
      <c r="M8" s="3"/>
      <c r="N8" s="3"/>
      <c r="O8" s="3"/>
      <c r="P8" s="3"/>
      <c r="Q8" s="3"/>
      <c r="R8" s="2" t="s">
        <v>40</v>
      </c>
      <c r="S8" s="2"/>
      <c r="T8" s="3" t="s">
        <v>40</v>
      </c>
      <c r="U8" s="3"/>
      <c r="V8" s="2"/>
      <c r="W8" s="2"/>
      <c r="X8" s="2"/>
      <c r="Y8" s="2"/>
      <c r="Z8" s="2" t="s">
        <v>39</v>
      </c>
      <c r="AA8" s="3"/>
      <c r="AB8" s="3"/>
      <c r="AC8" s="2"/>
      <c r="AD8" s="2"/>
      <c r="AE8" s="2"/>
      <c r="AF8" s="2"/>
      <c r="AG8" s="2"/>
      <c r="AH8" s="2">
        <f>COUNTIF(C8:AG8, "CO")</f>
        <v>4</v>
      </c>
      <c r="AI8" s="2">
        <f t="shared" si="0"/>
        <v>1</v>
      </c>
      <c r="AJ8" s="2">
        <v>1</v>
      </c>
    </row>
    <row r="9" spans="1:36" ht="20.100000000000001" customHeight="1" x14ac:dyDescent="0.25">
      <c r="A9" s="19">
        <f>'Apr24'!A9+'Apr24'!AI9+'Apr24'!AJ9-'Apr24'!AH9</f>
        <v>52</v>
      </c>
      <c r="B9" s="35" t="str">
        <f>Jan!B9</f>
        <v>S Lakra</v>
      </c>
      <c r="C9" s="2"/>
      <c r="D9" s="2"/>
      <c r="E9" s="2"/>
      <c r="F9" s="3" t="s">
        <v>40</v>
      </c>
      <c r="G9" s="3"/>
      <c r="H9" s="2"/>
      <c r="I9" s="2"/>
      <c r="J9" s="2"/>
      <c r="K9" s="2"/>
      <c r="L9" s="2"/>
      <c r="M9" s="3"/>
      <c r="N9" s="3" t="s">
        <v>39</v>
      </c>
      <c r="O9" s="2"/>
      <c r="P9" s="2"/>
      <c r="Q9" s="2" t="s">
        <v>39</v>
      </c>
      <c r="R9" s="2"/>
      <c r="S9" s="2" t="s">
        <v>39</v>
      </c>
      <c r="T9" s="3"/>
      <c r="U9" s="3"/>
      <c r="V9" s="2"/>
      <c r="W9" s="2"/>
      <c r="X9" s="2"/>
      <c r="Y9" s="2"/>
      <c r="Z9" s="2" t="s">
        <v>39</v>
      </c>
      <c r="AA9" s="3"/>
      <c r="AB9" s="3"/>
      <c r="AC9" s="2" t="s">
        <v>39</v>
      </c>
      <c r="AD9" s="2"/>
      <c r="AE9" s="2"/>
      <c r="AF9" s="2"/>
      <c r="AG9" s="2"/>
      <c r="AH9" s="2">
        <f>COUNTIF(C9:AG9, "CO")</f>
        <v>1</v>
      </c>
      <c r="AI9" s="2">
        <f t="shared" si="0"/>
        <v>5</v>
      </c>
      <c r="AJ9" s="2">
        <v>1</v>
      </c>
    </row>
    <row r="10" spans="1:36" ht="20.100000000000001" customHeight="1" x14ac:dyDescent="0.25">
      <c r="A10" s="19">
        <f>'Apr24'!A10+'Apr24'!AI10+'Apr24'!AJ10-'Apr24'!AH10</f>
        <v>43</v>
      </c>
      <c r="B10" s="35" t="str">
        <f>Jan!B10</f>
        <v>SK Maharana</v>
      </c>
      <c r="C10" s="3"/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/>
      <c r="V10" s="2" t="s">
        <v>39</v>
      </c>
      <c r="W10" s="2"/>
      <c r="X10" s="2" t="s">
        <v>39</v>
      </c>
      <c r="Y10" s="2"/>
      <c r="Z10" s="2"/>
      <c r="AA10" s="3"/>
      <c r="AB10" s="3"/>
      <c r="AC10" s="2" t="s">
        <v>40</v>
      </c>
      <c r="AD10" s="2" t="s">
        <v>40</v>
      </c>
      <c r="AE10" s="2" t="s">
        <v>40</v>
      </c>
      <c r="AF10" s="2" t="s">
        <v>40</v>
      </c>
      <c r="AG10" s="2"/>
      <c r="AH10" s="2">
        <f>COUNTIF(C10:AG10, "CO")</f>
        <v>4</v>
      </c>
      <c r="AI10" s="2">
        <f t="shared" si="0"/>
        <v>2</v>
      </c>
      <c r="AJ10" s="2">
        <v>1</v>
      </c>
    </row>
    <row r="11" spans="1:36" ht="20.100000000000001" customHeight="1" x14ac:dyDescent="0.25">
      <c r="A11" s="19">
        <f>'Apr24'!A11+'Apr24'!AI11+'Apr24'!AJ11-'Apr24'!AH11</f>
        <v>24</v>
      </c>
      <c r="B11" s="35" t="str">
        <f>Jan!B19</f>
        <v>A K Dalai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 t="s">
        <v>40</v>
      </c>
      <c r="T11" s="3"/>
      <c r="U11" s="3"/>
      <c r="V11" s="2"/>
      <c r="W11" s="2"/>
      <c r="X11" s="2"/>
      <c r="Y11" s="2"/>
      <c r="Z11" s="2"/>
      <c r="AA11" s="3"/>
      <c r="AB11" s="3"/>
      <c r="AC11" s="2"/>
      <c r="AD11" s="2" t="s">
        <v>40</v>
      </c>
      <c r="AE11" s="2"/>
      <c r="AF11" s="2"/>
      <c r="AG11" s="2"/>
      <c r="AH11" s="2">
        <f t="shared" ref="AH11:AH15" si="1">COUNTIF(C11:AG11, "CO")</f>
        <v>2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'Apr24'!A12+'Apr24'!AI12+'Apr24'!AJ12-'Apr24'!AH12</f>
        <v>58</v>
      </c>
      <c r="B12" s="35" t="str">
        <f>Jan!B12</f>
        <v>RK Singh</v>
      </c>
      <c r="C12" s="2"/>
      <c r="D12" s="2"/>
      <c r="E12" s="2"/>
      <c r="F12" s="3" t="s">
        <v>40</v>
      </c>
      <c r="G12" s="3"/>
      <c r="H12" s="2" t="s">
        <v>40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2"/>
      <c r="W12" s="2" t="s">
        <v>40</v>
      </c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3</v>
      </c>
      <c r="AI12" s="2">
        <f t="shared" si="0"/>
        <v>0</v>
      </c>
      <c r="AJ12" s="2">
        <v>1</v>
      </c>
    </row>
    <row r="13" spans="1:36" ht="20.100000000000001" customHeight="1" x14ac:dyDescent="0.25">
      <c r="A13" s="19">
        <f>'Apr24'!A13+'Apr24'!AI13+'Apr24'!AJ13-'Apr24'!AH13</f>
        <v>55</v>
      </c>
      <c r="B13" s="35" t="str">
        <f>Jan!B16</f>
        <v>M Bishi</v>
      </c>
      <c r="C13" s="2"/>
      <c r="D13" s="2"/>
      <c r="E13" s="2" t="s">
        <v>40</v>
      </c>
      <c r="F13" s="2" t="s">
        <v>40</v>
      </c>
      <c r="G13" s="2" t="s">
        <v>40</v>
      </c>
      <c r="H13" s="2" t="s">
        <v>40</v>
      </c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 t="s">
        <v>39</v>
      </c>
      <c r="AB13" s="3"/>
      <c r="AC13" s="2"/>
      <c r="AD13" s="2"/>
      <c r="AE13" s="2"/>
      <c r="AF13" s="2"/>
      <c r="AG13" s="2"/>
      <c r="AH13" s="2">
        <f t="shared" si="1"/>
        <v>4</v>
      </c>
      <c r="AI13" s="2">
        <f t="shared" si="0"/>
        <v>1</v>
      </c>
      <c r="AJ13" s="2">
        <v>1</v>
      </c>
    </row>
    <row r="14" spans="1:36" ht="20.100000000000001" customHeight="1" x14ac:dyDescent="0.25">
      <c r="A14" s="19">
        <f>'Apr24'!A14+'Apr24'!AI14+'Apr24'!AJ14-'Apr24'!AH14</f>
        <v>16</v>
      </c>
      <c r="B14" s="35" t="str">
        <f>Jan!B17</f>
        <v>S C Behera</v>
      </c>
      <c r="C14" s="2"/>
      <c r="D14" s="2"/>
      <c r="E14" s="3" t="s">
        <v>40</v>
      </c>
      <c r="F14" s="3" t="s">
        <v>40</v>
      </c>
      <c r="G14" s="2"/>
      <c r="H14" s="2"/>
      <c r="I14" s="2"/>
      <c r="J14" s="2"/>
      <c r="K14" s="2"/>
      <c r="L14" s="2"/>
      <c r="M14" s="3"/>
      <c r="N14" s="3"/>
      <c r="O14" s="2"/>
      <c r="P14" s="2" t="s">
        <v>40</v>
      </c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si="1"/>
        <v>3</v>
      </c>
      <c r="AI14" s="2">
        <f t="shared" si="0"/>
        <v>0</v>
      </c>
      <c r="AJ14" s="2">
        <v>1</v>
      </c>
    </row>
    <row r="15" spans="1:36" ht="20.100000000000001" customHeight="1" x14ac:dyDescent="0.25">
      <c r="A15" s="19">
        <f>'Apr24'!A15+'Apr24'!AI15+'Apr24'!AJ15-'Apr24'!AH15</f>
        <v>48</v>
      </c>
      <c r="B15" s="35" t="str">
        <f>Jan!B15</f>
        <v>D Pangi</v>
      </c>
      <c r="C15" s="2"/>
      <c r="D15" s="2"/>
      <c r="E15" s="2"/>
      <c r="F15" s="3"/>
      <c r="G15" s="3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C16:AH16"/>
    <mergeCell ref="AF21:AF23"/>
    <mergeCell ref="AE1:AH1"/>
    <mergeCell ref="A4:A5"/>
    <mergeCell ref="B4:B5"/>
    <mergeCell ref="AH4:AH5"/>
    <mergeCell ref="AI4:AI5"/>
    <mergeCell ref="AJ4:AJ5"/>
  </mergeCells>
  <conditionalFormatting sqref="C9:AG9 AG7 O6:AG6 C8:L8 N8 R8:AG8 D10:AG10 C15:AG15 C14:D14 G14:AG14 C6:K6 D7:L7 R7:AE7 C11:AG13">
    <cfRule type="containsText" dxfId="215" priority="17" operator="containsText" text="e">
      <formula>NOT(ISERROR(SEARCH("e",C6)))</formula>
    </cfRule>
    <cfRule type="containsText" dxfId="214" priority="18" operator="containsText" text="co">
      <formula>NOT(ISERROR(SEARCH("co",C6)))</formula>
    </cfRule>
  </conditionalFormatting>
  <conditionalFormatting sqref="L6">
    <cfRule type="containsText" dxfId="213" priority="15" operator="containsText" text="e">
      <formula>NOT(ISERROR(SEARCH("e",L6)))</formula>
    </cfRule>
    <cfRule type="containsText" dxfId="212" priority="16" operator="containsText" text="co">
      <formula>NOT(ISERROR(SEARCH("co",L6)))</formula>
    </cfRule>
  </conditionalFormatting>
  <conditionalFormatting sqref="M6:N6">
    <cfRule type="containsText" dxfId="211" priority="13" operator="containsText" text="e">
      <formula>NOT(ISERROR(SEARCH("e",M6)))</formula>
    </cfRule>
    <cfRule type="containsText" dxfId="210" priority="14" operator="containsText" text="co">
      <formula>NOT(ISERROR(SEARCH("co",M6)))</formula>
    </cfRule>
  </conditionalFormatting>
  <conditionalFormatting sqref="M7:Q7">
    <cfRule type="containsText" dxfId="209" priority="11" operator="containsText" text="e">
      <formula>NOT(ISERROR(SEARCH("e",M7)))</formula>
    </cfRule>
    <cfRule type="containsText" dxfId="208" priority="12" operator="containsText" text="co">
      <formula>NOT(ISERROR(SEARCH("co",M7)))</formula>
    </cfRule>
  </conditionalFormatting>
  <conditionalFormatting sqref="M8">
    <cfRule type="containsText" dxfId="207" priority="9" operator="containsText" text="e">
      <formula>NOT(ISERROR(SEARCH("e",M8)))</formula>
    </cfRule>
    <cfRule type="containsText" dxfId="206" priority="10" operator="containsText" text="co">
      <formula>NOT(ISERROR(SEARCH("co",M8)))</formula>
    </cfRule>
  </conditionalFormatting>
  <conditionalFormatting sqref="O8:Q8">
    <cfRule type="containsText" dxfId="205" priority="7" operator="containsText" text="e">
      <formula>NOT(ISERROR(SEARCH("e",O8)))</formula>
    </cfRule>
    <cfRule type="containsText" dxfId="204" priority="8" operator="containsText" text="co">
      <formula>NOT(ISERROR(SEARCH("co",O8)))</formula>
    </cfRule>
  </conditionalFormatting>
  <conditionalFormatting sqref="C10">
    <cfRule type="containsText" dxfId="203" priority="5" operator="containsText" text="e">
      <formula>NOT(ISERROR(SEARCH("e",C10)))</formula>
    </cfRule>
    <cfRule type="containsText" dxfId="202" priority="6" operator="containsText" text="co">
      <formula>NOT(ISERROR(SEARCH("co",C10)))</formula>
    </cfRule>
  </conditionalFormatting>
  <conditionalFormatting sqref="E14:F14">
    <cfRule type="containsText" dxfId="201" priority="3" operator="containsText" text="e">
      <formula>NOT(ISERROR(SEARCH("e",E14)))</formula>
    </cfRule>
    <cfRule type="containsText" dxfId="200" priority="4" operator="containsText" text="co">
      <formula>NOT(ISERROR(SEARCH("co",E14)))</formula>
    </cfRule>
  </conditionalFormatting>
  <conditionalFormatting sqref="C7">
    <cfRule type="containsText" dxfId="199" priority="1" operator="containsText" text="e">
      <formula>NOT(ISERROR(SEARCH("e",C7)))</formula>
    </cfRule>
    <cfRule type="containsText" dxfId="198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E1" sqref="AE1:AH1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73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36">
        <v>1</v>
      </c>
      <c r="D4" s="36">
        <v>2</v>
      </c>
      <c r="E4" s="36">
        <v>3</v>
      </c>
      <c r="F4" s="36">
        <v>4</v>
      </c>
      <c r="G4" s="36">
        <v>5</v>
      </c>
      <c r="H4" s="36">
        <v>6</v>
      </c>
      <c r="I4" s="36">
        <v>7</v>
      </c>
      <c r="J4" s="36">
        <v>8</v>
      </c>
      <c r="K4" s="36">
        <v>9</v>
      </c>
      <c r="L4" s="36">
        <v>10</v>
      </c>
      <c r="M4" s="36">
        <v>11</v>
      </c>
      <c r="N4" s="36">
        <v>12</v>
      </c>
      <c r="O4" s="36">
        <v>13</v>
      </c>
      <c r="P4" s="36">
        <v>14</v>
      </c>
      <c r="Q4" s="36">
        <v>15</v>
      </c>
      <c r="R4" s="36">
        <v>16</v>
      </c>
      <c r="S4" s="36">
        <v>17</v>
      </c>
      <c r="T4" s="36">
        <v>18</v>
      </c>
      <c r="U4" s="36">
        <v>19</v>
      </c>
      <c r="V4" s="36">
        <v>20</v>
      </c>
      <c r="W4" s="36">
        <v>21</v>
      </c>
      <c r="X4" s="36">
        <v>22</v>
      </c>
      <c r="Y4" s="36">
        <v>23</v>
      </c>
      <c r="Z4" s="36">
        <v>24</v>
      </c>
      <c r="AA4" s="36">
        <v>25</v>
      </c>
      <c r="AB4" s="36">
        <v>26</v>
      </c>
      <c r="AC4" s="36">
        <v>27</v>
      </c>
      <c r="AD4" s="36">
        <v>28</v>
      </c>
      <c r="AE4" s="36">
        <v>29</v>
      </c>
      <c r="AF4" s="36">
        <v>30</v>
      </c>
      <c r="AG4" s="36"/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36" t="s">
        <v>54</v>
      </c>
      <c r="D5" s="36" t="s">
        <v>55</v>
      </c>
      <c r="E5" s="36" t="s">
        <v>56</v>
      </c>
      <c r="F5" s="36" t="s">
        <v>57</v>
      </c>
      <c r="G5" s="36" t="s">
        <v>58</v>
      </c>
      <c r="H5" s="36" t="s">
        <v>59</v>
      </c>
      <c r="I5" s="36" t="s">
        <v>60</v>
      </c>
      <c r="J5" s="36" t="s">
        <v>54</v>
      </c>
      <c r="K5" s="36" t="s">
        <v>55</v>
      </c>
      <c r="L5" s="36" t="s">
        <v>56</v>
      </c>
      <c r="M5" s="36" t="s">
        <v>57</v>
      </c>
      <c r="N5" s="36" t="s">
        <v>58</v>
      </c>
      <c r="O5" s="36" t="s">
        <v>59</v>
      </c>
      <c r="P5" s="36" t="s">
        <v>60</v>
      </c>
      <c r="Q5" s="36" t="s">
        <v>54</v>
      </c>
      <c r="R5" s="36" t="s">
        <v>55</v>
      </c>
      <c r="S5" s="36" t="s">
        <v>56</v>
      </c>
      <c r="T5" s="36" t="s">
        <v>57</v>
      </c>
      <c r="U5" s="36" t="s">
        <v>58</v>
      </c>
      <c r="V5" s="36" t="s">
        <v>59</v>
      </c>
      <c r="W5" s="36" t="s">
        <v>60</v>
      </c>
      <c r="X5" s="36" t="s">
        <v>54</v>
      </c>
      <c r="Y5" s="36" t="s">
        <v>55</v>
      </c>
      <c r="Z5" s="36" t="s">
        <v>56</v>
      </c>
      <c r="AA5" s="36" t="s">
        <v>57</v>
      </c>
      <c r="AB5" s="36" t="s">
        <v>58</v>
      </c>
      <c r="AC5" s="36" t="s">
        <v>59</v>
      </c>
      <c r="AD5" s="36" t="s">
        <v>60</v>
      </c>
      <c r="AE5" s="36" t="s">
        <v>54</v>
      </c>
      <c r="AF5" s="36" t="s">
        <v>55</v>
      </c>
      <c r="AG5" s="36"/>
      <c r="AH5" s="56"/>
      <c r="AI5" s="56"/>
      <c r="AJ5" s="56"/>
    </row>
    <row r="6" spans="1:36" ht="20.100000000000001" customHeight="1" x14ac:dyDescent="0.25">
      <c r="A6" s="19">
        <f>'mAY24'!A6+'mAY24'!AI6+'mAY24'!AJ6-'mAY24'!AH6</f>
        <v>8</v>
      </c>
      <c r="B6" s="36" t="str">
        <f>Jan!B6</f>
        <v>KC Tirkey</v>
      </c>
      <c r="C6" s="2"/>
      <c r="D6" s="2" t="s">
        <v>39</v>
      </c>
      <c r="E6" s="2"/>
      <c r="F6" s="2"/>
      <c r="G6" s="2"/>
      <c r="H6" s="2" t="s">
        <v>40</v>
      </c>
      <c r="I6" s="3" t="s">
        <v>40</v>
      </c>
      <c r="J6" s="3"/>
      <c r="K6" s="3"/>
      <c r="L6" s="2"/>
      <c r="M6" s="3"/>
      <c r="N6" s="3"/>
      <c r="O6" s="2"/>
      <c r="P6" s="2"/>
      <c r="Q6" s="2"/>
      <c r="R6" s="2" t="s">
        <v>40</v>
      </c>
      <c r="S6" s="2"/>
      <c r="T6" s="3" t="s">
        <v>40</v>
      </c>
      <c r="U6" s="3" t="s">
        <v>40</v>
      </c>
      <c r="V6" s="2" t="s">
        <v>40</v>
      </c>
      <c r="W6" s="2" t="s">
        <v>40</v>
      </c>
      <c r="X6" s="2"/>
      <c r="Y6" s="2"/>
      <c r="Z6" s="2"/>
      <c r="AA6" s="3"/>
      <c r="AB6" s="3"/>
      <c r="AC6" s="2"/>
      <c r="AD6" s="2"/>
      <c r="AE6" s="2" t="s">
        <v>39</v>
      </c>
      <c r="AF6" s="2"/>
      <c r="AG6" s="2"/>
      <c r="AH6" s="2">
        <f>COUNTIF(C6:AG6, "CO")</f>
        <v>7</v>
      </c>
      <c r="AI6" s="2">
        <f t="shared" ref="AI6:AI15" si="0">COUNTIF(C6:AG6, "E")</f>
        <v>2</v>
      </c>
      <c r="AJ6" s="2">
        <v>1</v>
      </c>
    </row>
    <row r="7" spans="1:36" ht="20.100000000000001" customHeight="1" x14ac:dyDescent="0.25">
      <c r="A7" s="19">
        <f>'mAY24'!A7+'mAY24'!AI7+'mAY24'!AJ7-'mAY24'!AH7</f>
        <v>21</v>
      </c>
      <c r="B7" s="36" t="str">
        <f>Jan!B7</f>
        <v>GN Madhei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s">
        <v>39</v>
      </c>
      <c r="AE7" s="2" t="s">
        <v>40</v>
      </c>
      <c r="AG7" s="2"/>
      <c r="AH7" s="2">
        <f>COUNTIF(C7:AG7, "CO")</f>
        <v>1</v>
      </c>
      <c r="AI7" s="2">
        <f t="shared" si="0"/>
        <v>1</v>
      </c>
      <c r="AJ7" s="2">
        <v>1</v>
      </c>
    </row>
    <row r="8" spans="1:36" ht="20.100000000000001" customHeight="1" x14ac:dyDescent="0.25">
      <c r="A8" s="19">
        <f>'mAY24'!A8+'mAY24'!AI8+'mAY24'!AJ8-'mAY24'!AH8</f>
        <v>70</v>
      </c>
      <c r="B8" s="36" t="str">
        <f>Jan!B18</f>
        <v>S K Sahoo</v>
      </c>
      <c r="C8" s="2" t="s">
        <v>40</v>
      </c>
      <c r="D8" s="2" t="s">
        <v>40</v>
      </c>
      <c r="E8" s="2"/>
      <c r="F8" s="3"/>
      <c r="G8" s="3"/>
      <c r="H8" s="2"/>
      <c r="I8" s="2"/>
      <c r="J8" s="2" t="s">
        <v>39</v>
      </c>
      <c r="K8" s="2"/>
      <c r="L8" s="2"/>
      <c r="M8" s="3"/>
      <c r="N8" s="3"/>
      <c r="O8" s="3"/>
      <c r="P8" s="3"/>
      <c r="Q8" s="3"/>
      <c r="R8" s="2"/>
      <c r="S8" s="2"/>
      <c r="T8" s="3"/>
      <c r="U8" s="3"/>
      <c r="V8" s="2"/>
      <c r="W8" s="2"/>
      <c r="X8" s="2" t="s">
        <v>40</v>
      </c>
      <c r="Y8" s="2"/>
      <c r="Z8" s="2"/>
      <c r="AA8" s="3"/>
      <c r="AB8" s="3"/>
      <c r="AC8" s="2"/>
      <c r="AD8" s="2"/>
      <c r="AE8" s="2"/>
      <c r="AF8" s="2" t="s">
        <v>40</v>
      </c>
      <c r="AG8" s="2"/>
      <c r="AH8" s="2">
        <f>COUNTIF(C8:AG8, "CO")</f>
        <v>4</v>
      </c>
      <c r="AI8" s="2">
        <f t="shared" si="0"/>
        <v>1</v>
      </c>
      <c r="AJ8" s="2">
        <v>1</v>
      </c>
    </row>
    <row r="9" spans="1:36" ht="20.100000000000001" customHeight="1" x14ac:dyDescent="0.25">
      <c r="A9" s="19">
        <f>'mAY24'!A9+'mAY24'!AI9+'mAY24'!AJ9-'mAY24'!AH9</f>
        <v>57</v>
      </c>
      <c r="B9" s="36" t="str">
        <f>Jan!B9</f>
        <v>S Lakra</v>
      </c>
      <c r="C9" s="2"/>
      <c r="D9" s="2"/>
      <c r="E9" s="2"/>
      <c r="F9" s="3"/>
      <c r="G9" s="3"/>
      <c r="H9" s="2"/>
      <c r="I9" s="2"/>
      <c r="J9" s="2"/>
      <c r="K9" s="2" t="s">
        <v>40</v>
      </c>
      <c r="L9" s="2"/>
      <c r="M9" s="3"/>
      <c r="N9" s="3" t="s">
        <v>40</v>
      </c>
      <c r="O9" s="2" t="s">
        <v>40</v>
      </c>
      <c r="P9" s="2" t="s">
        <v>40</v>
      </c>
      <c r="Q9" s="2" t="s">
        <v>40</v>
      </c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 t="s">
        <v>40</v>
      </c>
      <c r="AE9" s="2" t="s">
        <v>40</v>
      </c>
      <c r="AF9" s="2"/>
      <c r="AG9" s="2"/>
      <c r="AH9" s="2">
        <f>COUNTIF(C9:AG9, "CO")</f>
        <v>7</v>
      </c>
      <c r="AI9" s="2">
        <f t="shared" si="0"/>
        <v>0</v>
      </c>
      <c r="AJ9" s="2">
        <v>1</v>
      </c>
    </row>
    <row r="10" spans="1:36" ht="20.100000000000001" customHeight="1" x14ac:dyDescent="0.25">
      <c r="A10" s="19">
        <f>'mAY24'!A10+'mAY24'!AI10+'mAY24'!AJ10-'mAY24'!AH10</f>
        <v>42</v>
      </c>
      <c r="B10" s="36" t="str">
        <f>Jan!B10</f>
        <v>SK Maharana</v>
      </c>
      <c r="C10" s="3"/>
      <c r="D10" s="2"/>
      <c r="E10" s="2"/>
      <c r="F10" s="2"/>
      <c r="G10" s="2"/>
      <c r="H10" s="2"/>
      <c r="I10" s="2"/>
      <c r="J10" s="2"/>
      <c r="K10" s="2"/>
      <c r="L10" s="2"/>
      <c r="M10" s="3"/>
      <c r="N10" s="3" t="s">
        <v>40</v>
      </c>
      <c r="O10" s="2" t="s">
        <v>40</v>
      </c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>COUNTIF(C10:AG10, "CO")</f>
        <v>2</v>
      </c>
      <c r="AI10" s="2">
        <f t="shared" si="0"/>
        <v>0</v>
      </c>
      <c r="AJ10" s="2">
        <v>1</v>
      </c>
    </row>
    <row r="11" spans="1:36" ht="20.100000000000001" customHeight="1" x14ac:dyDescent="0.25">
      <c r="A11" s="19">
        <f>'mAY24'!A11+'mAY24'!AI11+'mAY24'!AJ11-'mAY24'!AH11</f>
        <v>23</v>
      </c>
      <c r="B11" s="36" t="str">
        <f>Jan!B19</f>
        <v>A K Dalai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3" t="s">
        <v>39</v>
      </c>
      <c r="N11" s="3"/>
      <c r="O11" s="2" t="s">
        <v>39</v>
      </c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 t="s">
        <v>40</v>
      </c>
      <c r="AE11" s="2"/>
      <c r="AF11" s="2"/>
      <c r="AG11" s="2"/>
      <c r="AH11" s="2">
        <f t="shared" ref="AH11:AH15" si="1">COUNTIF(C11:AG11, "CO")</f>
        <v>1</v>
      </c>
      <c r="AI11" s="2">
        <f t="shared" si="0"/>
        <v>2</v>
      </c>
      <c r="AJ11" s="2">
        <v>1</v>
      </c>
    </row>
    <row r="12" spans="1:36" ht="20.100000000000001" customHeight="1" x14ac:dyDescent="0.25">
      <c r="A12" s="19">
        <f>'mAY24'!A12+'mAY24'!AI12+'mAY24'!AJ12-'mAY24'!AH12</f>
        <v>56</v>
      </c>
      <c r="B12" s="36" t="str">
        <f>Jan!B12</f>
        <v>RK Singh</v>
      </c>
      <c r="C12" s="2"/>
      <c r="D12" s="2"/>
      <c r="E12" s="2"/>
      <c r="F12" s="3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 t="s">
        <v>47</v>
      </c>
      <c r="AE12" s="2"/>
      <c r="AF12" s="2"/>
      <c r="AG12" s="2"/>
      <c r="AH12" s="2">
        <f t="shared" si="1"/>
        <v>1</v>
      </c>
      <c r="AI12" s="2">
        <f t="shared" si="0"/>
        <v>0</v>
      </c>
      <c r="AJ12" s="2">
        <v>1</v>
      </c>
    </row>
    <row r="13" spans="1:36" ht="20.100000000000001" customHeight="1" x14ac:dyDescent="0.25">
      <c r="A13" s="19">
        <f>'mAY24'!A13+'mAY24'!AI13+'mAY24'!AJ13-'mAY24'!AH13</f>
        <v>53</v>
      </c>
      <c r="B13" s="36" t="str">
        <f>Jan!B16</f>
        <v>M Bishi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0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'mAY24'!A14+'mAY24'!AI14+'mAY24'!AJ14-'mAY24'!AH14</f>
        <v>14</v>
      </c>
      <c r="B14" s="36" t="str">
        <f>Jan!B17</f>
        <v>S C Behera</v>
      </c>
      <c r="C14" s="2"/>
      <c r="D14" s="2"/>
      <c r="E14" s="3"/>
      <c r="F14" s="3" t="s">
        <v>40</v>
      </c>
      <c r="G14" s="2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si="1"/>
        <v>1</v>
      </c>
      <c r="AI14" s="2">
        <f t="shared" si="0"/>
        <v>0</v>
      </c>
      <c r="AJ14" s="2">
        <v>1</v>
      </c>
    </row>
    <row r="15" spans="1:36" ht="20.100000000000001" customHeight="1" x14ac:dyDescent="0.25">
      <c r="A15" s="19">
        <f>'mAY24'!A15+'mAY24'!AI15+'mAY24'!AJ15-'mAY24'!AH15</f>
        <v>49</v>
      </c>
      <c r="B15" s="36" t="str">
        <f>Jan!B15</f>
        <v>D Pangi</v>
      </c>
      <c r="C15" s="2"/>
      <c r="D15" s="2"/>
      <c r="E15" s="2"/>
      <c r="F15" s="3"/>
      <c r="G15" s="3" t="s">
        <v>40</v>
      </c>
      <c r="H15" s="3" t="s">
        <v>40</v>
      </c>
      <c r="I15" s="3" t="s">
        <v>40</v>
      </c>
      <c r="J15" s="3" t="s">
        <v>40</v>
      </c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4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4:A5"/>
    <mergeCell ref="B4:B5"/>
    <mergeCell ref="AH4:AH5"/>
    <mergeCell ref="AI4:AI5"/>
    <mergeCell ref="AJ4:AJ5"/>
    <mergeCell ref="C16:AH16"/>
    <mergeCell ref="AF21:AF23"/>
    <mergeCell ref="AE1:AH1"/>
  </mergeCells>
  <conditionalFormatting sqref="C9:AG9 AG7 O6:AG6 C8:L8 N8 R8:AG8 D10:AG10 C14:D14 G14:AG14 C6:K6 D7:L7 R7:AE7 C11:AG13 C15:AG15">
    <cfRule type="containsText" dxfId="197" priority="17" operator="containsText" text="e">
      <formula>NOT(ISERROR(SEARCH("e",C6)))</formula>
    </cfRule>
    <cfRule type="containsText" dxfId="196" priority="18" operator="containsText" text="co">
      <formula>NOT(ISERROR(SEARCH("co",C6)))</formula>
    </cfRule>
  </conditionalFormatting>
  <conditionalFormatting sqref="L6">
    <cfRule type="containsText" dxfId="195" priority="15" operator="containsText" text="e">
      <formula>NOT(ISERROR(SEARCH("e",L6)))</formula>
    </cfRule>
    <cfRule type="containsText" dxfId="194" priority="16" operator="containsText" text="co">
      <formula>NOT(ISERROR(SEARCH("co",L6)))</formula>
    </cfRule>
  </conditionalFormatting>
  <conditionalFormatting sqref="M6:N6">
    <cfRule type="containsText" dxfId="193" priority="13" operator="containsText" text="e">
      <formula>NOT(ISERROR(SEARCH("e",M6)))</formula>
    </cfRule>
    <cfRule type="containsText" dxfId="192" priority="14" operator="containsText" text="co">
      <formula>NOT(ISERROR(SEARCH("co",M6)))</formula>
    </cfRule>
  </conditionalFormatting>
  <conditionalFormatting sqref="M7:Q7">
    <cfRule type="containsText" dxfId="191" priority="11" operator="containsText" text="e">
      <formula>NOT(ISERROR(SEARCH("e",M7)))</formula>
    </cfRule>
    <cfRule type="containsText" dxfId="190" priority="12" operator="containsText" text="co">
      <formula>NOT(ISERROR(SEARCH("co",M7)))</formula>
    </cfRule>
  </conditionalFormatting>
  <conditionalFormatting sqref="M8">
    <cfRule type="containsText" dxfId="189" priority="9" operator="containsText" text="e">
      <formula>NOT(ISERROR(SEARCH("e",M8)))</formula>
    </cfRule>
    <cfRule type="containsText" dxfId="188" priority="10" operator="containsText" text="co">
      <formula>NOT(ISERROR(SEARCH("co",M8)))</formula>
    </cfRule>
  </conditionalFormatting>
  <conditionalFormatting sqref="O8:Q8">
    <cfRule type="containsText" dxfId="187" priority="7" operator="containsText" text="e">
      <formula>NOT(ISERROR(SEARCH("e",O8)))</formula>
    </cfRule>
    <cfRule type="containsText" dxfId="186" priority="8" operator="containsText" text="co">
      <formula>NOT(ISERROR(SEARCH("co",O8)))</formula>
    </cfRule>
  </conditionalFormatting>
  <conditionalFormatting sqref="C10">
    <cfRule type="containsText" dxfId="185" priority="5" operator="containsText" text="e">
      <formula>NOT(ISERROR(SEARCH("e",C10)))</formula>
    </cfRule>
    <cfRule type="containsText" dxfId="184" priority="6" operator="containsText" text="co">
      <formula>NOT(ISERROR(SEARCH("co",C10)))</formula>
    </cfRule>
  </conditionalFormatting>
  <conditionalFormatting sqref="E14:F14">
    <cfRule type="containsText" dxfId="183" priority="3" operator="containsText" text="e">
      <formula>NOT(ISERROR(SEARCH("e",E14)))</formula>
    </cfRule>
    <cfRule type="containsText" dxfId="182" priority="4" operator="containsText" text="co">
      <formula>NOT(ISERROR(SEARCH("co",E14)))</formula>
    </cfRule>
  </conditionalFormatting>
  <conditionalFormatting sqref="C7">
    <cfRule type="containsText" dxfId="181" priority="1" operator="containsText" text="e">
      <formula>NOT(ISERROR(SEARCH("e",C7)))</formula>
    </cfRule>
    <cfRule type="containsText" dxfId="180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E2" sqref="AE2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74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37">
        <v>1</v>
      </c>
      <c r="D4" s="37">
        <v>2</v>
      </c>
      <c r="E4" s="37">
        <v>3</v>
      </c>
      <c r="F4" s="37">
        <v>4</v>
      </c>
      <c r="G4" s="37">
        <v>5</v>
      </c>
      <c r="H4" s="37">
        <v>6</v>
      </c>
      <c r="I4" s="37">
        <v>7</v>
      </c>
      <c r="J4" s="37">
        <v>8</v>
      </c>
      <c r="K4" s="37">
        <v>9</v>
      </c>
      <c r="L4" s="37">
        <v>10</v>
      </c>
      <c r="M4" s="37">
        <v>11</v>
      </c>
      <c r="N4" s="37">
        <v>12</v>
      </c>
      <c r="O4" s="37">
        <v>13</v>
      </c>
      <c r="P4" s="37">
        <v>14</v>
      </c>
      <c r="Q4" s="37">
        <v>15</v>
      </c>
      <c r="R4" s="37">
        <v>16</v>
      </c>
      <c r="S4" s="37">
        <v>17</v>
      </c>
      <c r="T4" s="37">
        <v>18</v>
      </c>
      <c r="U4" s="37">
        <v>19</v>
      </c>
      <c r="V4" s="37">
        <v>20</v>
      </c>
      <c r="W4" s="37">
        <v>21</v>
      </c>
      <c r="X4" s="37">
        <v>22</v>
      </c>
      <c r="Y4" s="37">
        <v>23</v>
      </c>
      <c r="Z4" s="37">
        <v>24</v>
      </c>
      <c r="AA4" s="37">
        <v>25</v>
      </c>
      <c r="AB4" s="37">
        <v>26</v>
      </c>
      <c r="AC4" s="37">
        <v>27</v>
      </c>
      <c r="AD4" s="37">
        <v>28</v>
      </c>
      <c r="AE4" s="37">
        <v>29</v>
      </c>
      <c r="AF4" s="37">
        <v>30</v>
      </c>
      <c r="AG4" s="38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38" t="s">
        <v>56</v>
      </c>
      <c r="D5" s="38" t="s">
        <v>57</v>
      </c>
      <c r="E5" s="38" t="s">
        <v>58</v>
      </c>
      <c r="F5" s="38" t="s">
        <v>59</v>
      </c>
      <c r="G5" s="38" t="s">
        <v>60</v>
      </c>
      <c r="H5" s="38" t="s">
        <v>54</v>
      </c>
      <c r="I5" s="38" t="s">
        <v>55</v>
      </c>
      <c r="J5" s="38" t="s">
        <v>56</v>
      </c>
      <c r="K5" s="38" t="s">
        <v>57</v>
      </c>
      <c r="L5" s="38" t="s">
        <v>58</v>
      </c>
      <c r="M5" s="38" t="s">
        <v>59</v>
      </c>
      <c r="N5" s="38" t="s">
        <v>60</v>
      </c>
      <c r="O5" s="38" t="s">
        <v>54</v>
      </c>
      <c r="P5" s="38" t="s">
        <v>55</v>
      </c>
      <c r="Q5" s="38" t="s">
        <v>56</v>
      </c>
      <c r="R5" s="38" t="s">
        <v>57</v>
      </c>
      <c r="S5" s="38" t="s">
        <v>58</v>
      </c>
      <c r="T5" s="38" t="s">
        <v>59</v>
      </c>
      <c r="U5" s="38" t="s">
        <v>60</v>
      </c>
      <c r="V5" s="38" t="s">
        <v>54</v>
      </c>
      <c r="W5" s="38" t="s">
        <v>55</v>
      </c>
      <c r="X5" s="38" t="s">
        <v>56</v>
      </c>
      <c r="Y5" s="38" t="s">
        <v>57</v>
      </c>
      <c r="Z5" s="38" t="s">
        <v>58</v>
      </c>
      <c r="AA5" s="38" t="s">
        <v>59</v>
      </c>
      <c r="AB5" s="38" t="s">
        <v>60</v>
      </c>
      <c r="AC5" s="38" t="s">
        <v>54</v>
      </c>
      <c r="AD5" s="38" t="s">
        <v>55</v>
      </c>
      <c r="AE5" s="38" t="s">
        <v>56</v>
      </c>
      <c r="AF5" s="38" t="s">
        <v>57</v>
      </c>
      <c r="AG5" s="38" t="s">
        <v>58</v>
      </c>
      <c r="AH5" s="56"/>
      <c r="AI5" s="56"/>
      <c r="AJ5" s="56"/>
    </row>
    <row r="6" spans="1:36" ht="20.100000000000001" customHeight="1" x14ac:dyDescent="0.25">
      <c r="A6" s="19">
        <f>'jUN24'!A6+'jUN24'!AI6+'jUN24'!AJ6-'jUN24'!AH6</f>
        <v>4</v>
      </c>
      <c r="B6" s="37" t="str">
        <f>Jan!B6</f>
        <v>KC Tirkey</v>
      </c>
      <c r="C6" s="2"/>
      <c r="D6" s="2"/>
      <c r="E6" s="2" t="s">
        <v>40</v>
      </c>
      <c r="F6" s="2"/>
      <c r="G6" s="2"/>
      <c r="H6" s="2"/>
      <c r="I6" s="3"/>
      <c r="J6" s="3"/>
      <c r="K6" s="3"/>
      <c r="L6" s="2" t="s">
        <v>39</v>
      </c>
      <c r="M6" s="3"/>
      <c r="N6" s="3"/>
      <c r="O6" s="2"/>
      <c r="P6" s="2"/>
      <c r="Q6" s="2"/>
      <c r="R6" s="2"/>
      <c r="S6" s="2" t="s">
        <v>40</v>
      </c>
      <c r="T6" s="3" t="s">
        <v>40</v>
      </c>
      <c r="U6" s="3"/>
      <c r="V6" s="2"/>
      <c r="W6" s="2"/>
      <c r="X6" s="2"/>
      <c r="Y6" s="2"/>
      <c r="Z6" s="2"/>
      <c r="AA6" s="3"/>
      <c r="AB6" s="3"/>
      <c r="AC6" s="2"/>
      <c r="AD6" s="2"/>
      <c r="AE6" s="2"/>
      <c r="AF6" s="2"/>
      <c r="AG6" s="2"/>
      <c r="AH6" s="2">
        <f>COUNTIF(C6:AG6, "CO")</f>
        <v>3</v>
      </c>
      <c r="AI6" s="2">
        <f t="shared" ref="AI6:AI15" si="0">COUNTIF(C6:AG6, "E")</f>
        <v>1</v>
      </c>
      <c r="AJ6" s="2">
        <v>1</v>
      </c>
    </row>
    <row r="7" spans="1:36" ht="20.100000000000001" customHeight="1" x14ac:dyDescent="0.25">
      <c r="A7" s="19">
        <f>'jUN24'!A7+'jUN24'!AI7+'jUN24'!AJ7-'jUN24'!AH7</f>
        <v>22</v>
      </c>
      <c r="B7" s="37" t="str">
        <f>Jan!B7</f>
        <v>GN Madhei</v>
      </c>
      <c r="C7" s="2"/>
      <c r="D7" s="2" t="s">
        <v>39</v>
      </c>
      <c r="E7" s="2"/>
      <c r="F7" s="2" t="s">
        <v>39</v>
      </c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2"/>
      <c r="S7" s="2"/>
      <c r="T7" s="2"/>
      <c r="U7" s="2"/>
      <c r="V7" s="2"/>
      <c r="W7" s="2" t="s">
        <v>39</v>
      </c>
      <c r="X7" s="2"/>
      <c r="Y7" s="2"/>
      <c r="Z7" s="2"/>
      <c r="AA7" s="2"/>
      <c r="AB7" s="2"/>
      <c r="AC7" s="2"/>
      <c r="AD7" s="2"/>
      <c r="AE7" s="2"/>
      <c r="AG7" s="2"/>
      <c r="AH7" s="2">
        <f>COUNTIF(C7:AG7, "CO")</f>
        <v>0</v>
      </c>
      <c r="AI7" s="2">
        <f t="shared" si="0"/>
        <v>3</v>
      </c>
      <c r="AJ7" s="2">
        <v>1</v>
      </c>
    </row>
    <row r="8" spans="1:36" ht="20.100000000000001" customHeight="1" x14ac:dyDescent="0.25">
      <c r="A8" s="19">
        <f>'jUN24'!A8+'jUN24'!AI8+'jUN24'!AJ8-'jUN24'!AH8</f>
        <v>68</v>
      </c>
      <c r="B8" s="37" t="str">
        <f>Jan!B18</f>
        <v>S K Sahoo</v>
      </c>
      <c r="C8" s="2" t="s">
        <v>40</v>
      </c>
      <c r="D8" s="2"/>
      <c r="E8" s="2" t="s">
        <v>39</v>
      </c>
      <c r="F8" s="3"/>
      <c r="G8" s="3"/>
      <c r="H8" s="2"/>
      <c r="I8" s="2"/>
      <c r="J8" s="2"/>
      <c r="K8" s="2" t="s">
        <v>40</v>
      </c>
      <c r="L8" s="2" t="s">
        <v>40</v>
      </c>
      <c r="M8" s="2" t="s">
        <v>40</v>
      </c>
      <c r="N8" s="3"/>
      <c r="O8" s="3"/>
      <c r="P8" s="3"/>
      <c r="Q8" s="3"/>
      <c r="R8" s="2"/>
      <c r="S8" s="2"/>
      <c r="T8" s="3"/>
      <c r="U8" s="3"/>
      <c r="V8" s="2"/>
      <c r="W8" s="2"/>
      <c r="X8" s="2"/>
      <c r="Y8" s="2"/>
      <c r="Z8" s="2"/>
      <c r="AA8" s="3" t="s">
        <v>40</v>
      </c>
      <c r="AB8" s="3"/>
      <c r="AC8" s="2" t="s">
        <v>40</v>
      </c>
      <c r="AD8" s="2"/>
      <c r="AE8" s="2"/>
      <c r="AF8" s="2"/>
      <c r="AG8" s="2"/>
      <c r="AH8" s="2">
        <f>COUNTIF(C8:AG8, "CO")</f>
        <v>6</v>
      </c>
      <c r="AI8" s="2">
        <f t="shared" si="0"/>
        <v>1</v>
      </c>
      <c r="AJ8" s="2">
        <v>1</v>
      </c>
    </row>
    <row r="9" spans="1:36" ht="20.100000000000001" customHeight="1" x14ac:dyDescent="0.25">
      <c r="A9" s="19">
        <f>'jUN24'!A10+'jUN24'!AI10+'jUN24'!AJ10-'jUN24'!AH10</f>
        <v>41</v>
      </c>
      <c r="B9" s="37" t="str">
        <f>Jan!B10</f>
        <v>SK Maharana</v>
      </c>
      <c r="C9" s="3"/>
      <c r="D9" s="2"/>
      <c r="E9" s="2" t="s">
        <v>40</v>
      </c>
      <c r="F9" s="2" t="s">
        <v>40</v>
      </c>
      <c r="G9" s="2" t="s">
        <v>40</v>
      </c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 t="s">
        <v>39</v>
      </c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3</v>
      </c>
      <c r="AI9" s="2">
        <f t="shared" si="0"/>
        <v>1</v>
      </c>
      <c r="AJ9" s="2">
        <v>1</v>
      </c>
    </row>
    <row r="10" spans="1:36" ht="20.100000000000001" customHeight="1" x14ac:dyDescent="0.25">
      <c r="A10" s="19">
        <f>'jUN24'!A11+'jUN24'!AI11+'jUN24'!AJ11-'jUN24'!AH11</f>
        <v>25</v>
      </c>
      <c r="B10" s="37" t="str">
        <f>Jan!B19</f>
        <v>A K Dalai</v>
      </c>
      <c r="C10" s="2"/>
      <c r="D10" s="2"/>
      <c r="E10" s="2"/>
      <c r="F10" s="3" t="s">
        <v>39</v>
      </c>
      <c r="G10" s="3" t="s">
        <v>39</v>
      </c>
      <c r="H10" s="2" t="s">
        <v>39</v>
      </c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 t="s">
        <v>39</v>
      </c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 t="shared" ref="AH10:AH15" si="1">COUNTIF(C10:AG10, "CO")</f>
        <v>0</v>
      </c>
      <c r="AI10" s="2">
        <f t="shared" si="0"/>
        <v>4</v>
      </c>
      <c r="AJ10" s="2">
        <v>1</v>
      </c>
    </row>
    <row r="11" spans="1:36" ht="20.100000000000001" customHeight="1" x14ac:dyDescent="0.25">
      <c r="A11" s="19">
        <f>'jUN24'!A12+'jUN24'!AI12+'jUN24'!AJ12-'jUN24'!AH12</f>
        <v>56</v>
      </c>
      <c r="B11" s="37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si="1"/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'jUN24'!A13+'jUN24'!AI13+'jUN24'!AJ13-'jUN24'!AH13</f>
        <v>54</v>
      </c>
      <c r="B12" s="37" t="str">
        <f>Jan!B16</f>
        <v>M Bishi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0</v>
      </c>
      <c r="AJ12" s="2">
        <v>1</v>
      </c>
    </row>
    <row r="13" spans="1:36" ht="20.100000000000001" customHeight="1" x14ac:dyDescent="0.25">
      <c r="A13" s="19">
        <f>'jUN24'!A14+'jUN24'!AI14+'jUN24'!AJ14-'jUN24'!AH14</f>
        <v>14</v>
      </c>
      <c r="B13" s="37" t="str">
        <f>Jan!B17</f>
        <v>S C Behera</v>
      </c>
      <c r="C13" s="2"/>
      <c r="D13" s="2"/>
      <c r="E13" s="3"/>
      <c r="F13" s="3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 t="s">
        <v>40</v>
      </c>
      <c r="AF13" s="2" t="s">
        <v>40</v>
      </c>
      <c r="AG13" s="2"/>
      <c r="AH13" s="2">
        <f t="shared" si="1"/>
        <v>2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v>61</v>
      </c>
      <c r="B14" s="38" t="str">
        <f>Jan!B20</f>
        <v>M C Tudu</v>
      </c>
      <c r="C14" s="2"/>
      <c r="D14" s="2"/>
      <c r="E14" s="3" t="s">
        <v>40</v>
      </c>
      <c r="F14" s="3" t="s">
        <v>40</v>
      </c>
      <c r="G14" s="3" t="s">
        <v>40</v>
      </c>
      <c r="H14" s="2"/>
      <c r="I14" s="2"/>
      <c r="J14" s="2"/>
      <c r="K14" s="2"/>
      <c r="L14" s="2"/>
      <c r="M14" s="3" t="s">
        <v>39</v>
      </c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 t="s">
        <v>39</v>
      </c>
      <c r="AB14" s="3"/>
      <c r="AC14" s="2"/>
      <c r="AD14" s="2"/>
      <c r="AE14" s="2"/>
      <c r="AF14" s="2"/>
      <c r="AG14" s="2"/>
      <c r="AH14" s="2">
        <f t="shared" ref="AH14" si="2">COUNTIF(C14:AG14, "CO")</f>
        <v>3</v>
      </c>
      <c r="AI14" s="2">
        <f t="shared" ref="AI14" si="3">COUNTIF(C14:AG14, "E")</f>
        <v>2</v>
      </c>
      <c r="AJ14" s="2">
        <v>1</v>
      </c>
    </row>
    <row r="15" spans="1:36" ht="20.100000000000001" customHeight="1" x14ac:dyDescent="0.25">
      <c r="A15" s="19">
        <f>'jUN24'!A15+'jUN24'!AI15+'jUN24'!AJ15-'jUN24'!AH15</f>
        <v>46</v>
      </c>
      <c r="B15" s="37" t="str">
        <f>Jan!B15</f>
        <v>D Pangi</v>
      </c>
      <c r="C15" s="2"/>
      <c r="D15" s="2"/>
      <c r="E15" s="2"/>
      <c r="F15" s="3"/>
      <c r="G15" s="3"/>
      <c r="H15" s="3"/>
      <c r="I15" s="3"/>
      <c r="J15" s="3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C16:AH16"/>
    <mergeCell ref="AF21:AF23"/>
    <mergeCell ref="AE1:AH1"/>
    <mergeCell ref="A4:A5"/>
    <mergeCell ref="B4:B5"/>
    <mergeCell ref="AH4:AH5"/>
    <mergeCell ref="AI4:AI5"/>
    <mergeCell ref="AJ4:AJ5"/>
  </mergeCells>
  <conditionalFormatting sqref="AG7 O6:AG6 R8:AG8 C13:D14 G13:AG13 C6:K6 D7:L7 R7:AE7 C10:AG12 C15:AG15 C8:N8 D9:AG9 H14:AG14">
    <cfRule type="containsText" dxfId="179" priority="17" operator="containsText" text="e">
      <formula>NOT(ISERROR(SEARCH("e",C6)))</formula>
    </cfRule>
    <cfRule type="containsText" dxfId="178" priority="18" operator="containsText" text="co">
      <formula>NOT(ISERROR(SEARCH("co",C6)))</formula>
    </cfRule>
  </conditionalFormatting>
  <conditionalFormatting sqref="L6">
    <cfRule type="containsText" dxfId="177" priority="15" operator="containsText" text="e">
      <formula>NOT(ISERROR(SEARCH("e",L6)))</formula>
    </cfRule>
    <cfRule type="containsText" dxfId="176" priority="16" operator="containsText" text="co">
      <formula>NOT(ISERROR(SEARCH("co",L6)))</formula>
    </cfRule>
  </conditionalFormatting>
  <conditionalFormatting sqref="M6:N6">
    <cfRule type="containsText" dxfId="175" priority="13" operator="containsText" text="e">
      <formula>NOT(ISERROR(SEARCH("e",M6)))</formula>
    </cfRule>
    <cfRule type="containsText" dxfId="174" priority="14" operator="containsText" text="co">
      <formula>NOT(ISERROR(SEARCH("co",M6)))</formula>
    </cfRule>
  </conditionalFormatting>
  <conditionalFormatting sqref="M7:Q7">
    <cfRule type="containsText" dxfId="173" priority="11" operator="containsText" text="e">
      <formula>NOT(ISERROR(SEARCH("e",M7)))</formula>
    </cfRule>
    <cfRule type="containsText" dxfId="172" priority="12" operator="containsText" text="co">
      <formula>NOT(ISERROR(SEARCH("co",M7)))</formula>
    </cfRule>
  </conditionalFormatting>
  <conditionalFormatting sqref="O8:Q8">
    <cfRule type="containsText" dxfId="171" priority="7" operator="containsText" text="e">
      <formula>NOT(ISERROR(SEARCH("e",O8)))</formula>
    </cfRule>
    <cfRule type="containsText" dxfId="170" priority="8" operator="containsText" text="co">
      <formula>NOT(ISERROR(SEARCH("co",O8)))</formula>
    </cfRule>
  </conditionalFormatting>
  <conditionalFormatting sqref="C9">
    <cfRule type="containsText" dxfId="169" priority="5" operator="containsText" text="e">
      <formula>NOT(ISERROR(SEARCH("e",C9)))</formula>
    </cfRule>
    <cfRule type="containsText" dxfId="168" priority="6" operator="containsText" text="co">
      <formula>NOT(ISERROR(SEARCH("co",C9)))</formula>
    </cfRule>
  </conditionalFormatting>
  <conditionalFormatting sqref="E13:F13 E14:G14">
    <cfRule type="containsText" dxfId="167" priority="3" operator="containsText" text="e">
      <formula>NOT(ISERROR(SEARCH("e",E13)))</formula>
    </cfRule>
    <cfRule type="containsText" dxfId="166" priority="4" operator="containsText" text="co">
      <formula>NOT(ISERROR(SEARCH("co",E13)))</formula>
    </cfRule>
  </conditionalFormatting>
  <conditionalFormatting sqref="C7">
    <cfRule type="containsText" dxfId="165" priority="1" operator="containsText" text="e">
      <formula>NOT(ISERROR(SEARCH("e",C7)))</formula>
    </cfRule>
    <cfRule type="containsText" dxfId="164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E2" sqref="AE2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75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38">
        <v>1</v>
      </c>
      <c r="D4" s="38">
        <v>2</v>
      </c>
      <c r="E4" s="38">
        <v>3</v>
      </c>
      <c r="F4" s="38">
        <v>4</v>
      </c>
      <c r="G4" s="38">
        <v>5</v>
      </c>
      <c r="H4" s="38">
        <v>6</v>
      </c>
      <c r="I4" s="38">
        <v>7</v>
      </c>
      <c r="J4" s="38">
        <v>8</v>
      </c>
      <c r="K4" s="38">
        <v>9</v>
      </c>
      <c r="L4" s="38">
        <v>10</v>
      </c>
      <c r="M4" s="38">
        <v>11</v>
      </c>
      <c r="N4" s="38">
        <v>12</v>
      </c>
      <c r="O4" s="38">
        <v>13</v>
      </c>
      <c r="P4" s="38">
        <v>14</v>
      </c>
      <c r="Q4" s="38">
        <v>15</v>
      </c>
      <c r="R4" s="38">
        <v>16</v>
      </c>
      <c r="S4" s="38">
        <v>17</v>
      </c>
      <c r="T4" s="38">
        <v>18</v>
      </c>
      <c r="U4" s="38">
        <v>19</v>
      </c>
      <c r="V4" s="38">
        <v>20</v>
      </c>
      <c r="W4" s="38">
        <v>21</v>
      </c>
      <c r="X4" s="38">
        <v>22</v>
      </c>
      <c r="Y4" s="38">
        <v>23</v>
      </c>
      <c r="Z4" s="38">
        <v>24</v>
      </c>
      <c r="AA4" s="38">
        <v>25</v>
      </c>
      <c r="AB4" s="38">
        <v>26</v>
      </c>
      <c r="AC4" s="38">
        <v>27</v>
      </c>
      <c r="AD4" s="38">
        <v>28</v>
      </c>
      <c r="AE4" s="38">
        <v>29</v>
      </c>
      <c r="AF4" s="38">
        <v>30</v>
      </c>
      <c r="AG4" s="38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38" t="s">
        <v>59</v>
      </c>
      <c r="D5" s="38" t="s">
        <v>60</v>
      </c>
      <c r="E5" s="38" t="s">
        <v>54</v>
      </c>
      <c r="F5" s="38" t="s">
        <v>55</v>
      </c>
      <c r="G5" s="38" t="s">
        <v>56</v>
      </c>
      <c r="H5" s="38" t="s">
        <v>57</v>
      </c>
      <c r="I5" s="38" t="s">
        <v>58</v>
      </c>
      <c r="J5" s="38" t="s">
        <v>59</v>
      </c>
      <c r="K5" s="38" t="s">
        <v>60</v>
      </c>
      <c r="L5" s="38" t="s">
        <v>54</v>
      </c>
      <c r="M5" s="38" t="s">
        <v>55</v>
      </c>
      <c r="N5" s="38" t="s">
        <v>56</v>
      </c>
      <c r="O5" s="38" t="s">
        <v>57</v>
      </c>
      <c r="P5" s="38" t="s">
        <v>58</v>
      </c>
      <c r="Q5" s="38" t="s">
        <v>59</v>
      </c>
      <c r="R5" s="38" t="s">
        <v>60</v>
      </c>
      <c r="S5" s="38" t="s">
        <v>54</v>
      </c>
      <c r="T5" s="38" t="s">
        <v>55</v>
      </c>
      <c r="U5" s="38" t="s">
        <v>56</v>
      </c>
      <c r="V5" s="38" t="s">
        <v>57</v>
      </c>
      <c r="W5" s="38" t="s">
        <v>58</v>
      </c>
      <c r="X5" s="38" t="s">
        <v>59</v>
      </c>
      <c r="Y5" s="38" t="s">
        <v>60</v>
      </c>
      <c r="Z5" s="38" t="s">
        <v>54</v>
      </c>
      <c r="AA5" s="38" t="s">
        <v>55</v>
      </c>
      <c r="AB5" s="38" t="s">
        <v>56</v>
      </c>
      <c r="AC5" s="38" t="s">
        <v>57</v>
      </c>
      <c r="AD5" s="38" t="s">
        <v>58</v>
      </c>
      <c r="AE5" s="38" t="s">
        <v>59</v>
      </c>
      <c r="AF5" s="38" t="s">
        <v>60</v>
      </c>
      <c r="AG5" s="38" t="s">
        <v>54</v>
      </c>
      <c r="AH5" s="56"/>
      <c r="AI5" s="56"/>
      <c r="AJ5" s="56"/>
    </row>
    <row r="6" spans="1:36" ht="20.100000000000001" customHeight="1" x14ac:dyDescent="0.25">
      <c r="A6" s="19">
        <f>jULY24!A6+jULY24!AI6+jULY24!AJ6-jULY24!AH6</f>
        <v>3</v>
      </c>
      <c r="B6" s="38" t="str">
        <f>Jan!B6</f>
        <v>KC Tirkey</v>
      </c>
      <c r="C6" s="2"/>
      <c r="D6" s="2"/>
      <c r="E6" s="2"/>
      <c r="F6" s="2"/>
      <c r="G6" s="2"/>
      <c r="H6" s="2"/>
      <c r="I6" s="3"/>
      <c r="J6" s="3"/>
      <c r="K6" s="3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 t="s">
        <v>39</v>
      </c>
      <c r="Z6" s="2"/>
      <c r="AA6" s="3"/>
      <c r="AB6" s="3"/>
      <c r="AC6" s="2"/>
      <c r="AD6" s="2"/>
      <c r="AE6" s="2"/>
      <c r="AF6" s="2"/>
      <c r="AG6" s="2"/>
      <c r="AH6" s="2">
        <f>COUNTIF(C6:AG6, "CO")</f>
        <v>0</v>
      </c>
      <c r="AI6" s="2">
        <f t="shared" ref="AI6:AI15" si="0">COUNTIF(C6:AG6, "E")</f>
        <v>1</v>
      </c>
      <c r="AJ6" s="2">
        <v>1</v>
      </c>
    </row>
    <row r="7" spans="1:36" ht="20.100000000000001" customHeight="1" x14ac:dyDescent="0.25">
      <c r="A7" s="19">
        <f>jULY24!A7+jULY24!AI7+jULY24!AJ7-jULY24!AH7</f>
        <v>26</v>
      </c>
      <c r="B7" s="38" t="str">
        <f>Jan!B7</f>
        <v>GN Madhei</v>
      </c>
      <c r="C7" s="2"/>
      <c r="D7" s="2"/>
      <c r="E7" s="2"/>
      <c r="F7" s="2"/>
      <c r="G7" s="2"/>
      <c r="H7" s="2"/>
      <c r="I7" s="2"/>
      <c r="J7" s="2"/>
      <c r="K7" s="2" t="s">
        <v>39</v>
      </c>
      <c r="L7" s="2"/>
      <c r="M7" s="3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 t="s">
        <v>40</v>
      </c>
      <c r="AF7" s="2" t="s">
        <v>40</v>
      </c>
      <c r="AG7" s="2" t="s">
        <v>40</v>
      </c>
      <c r="AH7" s="2">
        <f>COUNTIF(C7:AG7, "CO")</f>
        <v>3</v>
      </c>
      <c r="AI7" s="2">
        <f t="shared" si="0"/>
        <v>1</v>
      </c>
      <c r="AJ7" s="2">
        <v>1</v>
      </c>
    </row>
    <row r="8" spans="1:36" ht="20.100000000000001" customHeight="1" x14ac:dyDescent="0.25">
      <c r="A8" s="19">
        <f>jULY24!A8+jULY24!AI8+jULY24!AJ8-jULY24!AH8</f>
        <v>64</v>
      </c>
      <c r="B8" s="38" t="str">
        <f>Jan!B18</f>
        <v>S K Sahoo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3" t="s">
        <v>39</v>
      </c>
      <c r="P8" s="3"/>
      <c r="Q8" s="3"/>
      <c r="R8" s="2"/>
      <c r="S8" s="2"/>
      <c r="T8" s="3"/>
      <c r="U8" s="3"/>
      <c r="V8" s="2"/>
      <c r="W8" s="2"/>
      <c r="X8" s="2"/>
      <c r="Y8" s="2"/>
      <c r="Z8" s="2"/>
      <c r="AA8" s="3"/>
      <c r="AB8" s="3"/>
      <c r="AC8" s="2"/>
      <c r="AD8" s="2"/>
      <c r="AE8" s="2"/>
      <c r="AF8" s="2"/>
      <c r="AG8" s="2"/>
      <c r="AH8" s="2">
        <f>COUNTIF(C8:AG8, "CO")</f>
        <v>0</v>
      </c>
      <c r="AI8" s="2">
        <f t="shared" si="0"/>
        <v>1</v>
      </c>
      <c r="AJ8" s="2">
        <v>1</v>
      </c>
    </row>
    <row r="9" spans="1:36" ht="20.100000000000001" customHeight="1" x14ac:dyDescent="0.25">
      <c r="A9" s="19">
        <f>jULY24!A9+jULY24!AI9+jULY24!AJ9-jULY24!AH9</f>
        <v>40</v>
      </c>
      <c r="B9" s="38" t="str">
        <f>Jan!B10</f>
        <v>SK Maharana</v>
      </c>
      <c r="C9" s="3"/>
      <c r="D9" s="2"/>
      <c r="E9" s="2"/>
      <c r="F9" s="2"/>
      <c r="G9" s="2"/>
      <c r="H9" s="2"/>
      <c r="I9" s="2" t="s">
        <v>40</v>
      </c>
      <c r="J9" s="2" t="s">
        <v>40</v>
      </c>
      <c r="K9" s="2"/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2</v>
      </c>
      <c r="AI9" s="2">
        <f t="shared" si="0"/>
        <v>0</v>
      </c>
      <c r="AJ9" s="2">
        <v>1</v>
      </c>
    </row>
    <row r="10" spans="1:36" ht="20.100000000000001" customHeight="1" x14ac:dyDescent="0.25">
      <c r="A10" s="19">
        <f>jULY24!A10+jULY24!AI10+jULY24!AJ10-jULY24!AH10</f>
        <v>30</v>
      </c>
      <c r="B10" s="38" t="str">
        <f>Jan!B19</f>
        <v>A K Dalai</v>
      </c>
      <c r="C10" s="2"/>
      <c r="D10" s="2"/>
      <c r="E10" s="2" t="s">
        <v>40</v>
      </c>
      <c r="F10" s="2" t="s">
        <v>40</v>
      </c>
      <c r="G10" s="2" t="s">
        <v>40</v>
      </c>
      <c r="H10" s="2"/>
      <c r="I10" s="2" t="s">
        <v>40</v>
      </c>
      <c r="J10" s="2" t="s">
        <v>40</v>
      </c>
      <c r="K10" s="2" t="s">
        <v>40</v>
      </c>
      <c r="L10" s="2" t="s">
        <v>40</v>
      </c>
      <c r="M10" s="2" t="s">
        <v>40</v>
      </c>
      <c r="N10" s="2" t="s">
        <v>40</v>
      </c>
      <c r="O10" s="2"/>
      <c r="P10" s="2"/>
      <c r="Q10" s="2"/>
      <c r="R10" s="2"/>
      <c r="S10" s="2"/>
      <c r="T10" s="3"/>
      <c r="U10" s="3"/>
      <c r="V10" s="2"/>
      <c r="W10" s="2"/>
      <c r="X10" s="2" t="s">
        <v>39</v>
      </c>
      <c r="Y10" s="2"/>
      <c r="Z10" s="2"/>
      <c r="AA10" s="3"/>
      <c r="AB10" s="3"/>
      <c r="AC10" s="2"/>
      <c r="AD10" s="2"/>
      <c r="AE10" s="2"/>
      <c r="AF10" s="2"/>
      <c r="AG10" s="2"/>
      <c r="AH10" s="2">
        <f t="shared" ref="AH10:AH15" si="1">COUNTIF(C10:AG10, "CO")</f>
        <v>9</v>
      </c>
      <c r="AI10" s="2">
        <f t="shared" si="0"/>
        <v>1</v>
      </c>
      <c r="AJ10" s="2">
        <v>1</v>
      </c>
    </row>
    <row r="11" spans="1:36" ht="20.100000000000001" customHeight="1" x14ac:dyDescent="0.25">
      <c r="A11" s="19">
        <f>jULY24!A11+jULY24!AI11+jULY24!AJ11-jULY24!AH11</f>
        <v>57</v>
      </c>
      <c r="B11" s="38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si="1"/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jULY24!A12+jULY24!AI12+jULY24!AJ12-jULY24!AH12</f>
        <v>55</v>
      </c>
      <c r="B12" s="38" t="str">
        <f>Jan!B16</f>
        <v>M Bishi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0</v>
      </c>
      <c r="AJ12" s="2">
        <v>1</v>
      </c>
    </row>
    <row r="13" spans="1:36" ht="20.100000000000001" customHeight="1" x14ac:dyDescent="0.25">
      <c r="A13" s="19">
        <f>jULY24!A13+jULY24!AI13+jULY24!AJ13-jULY24!AH13</f>
        <v>13</v>
      </c>
      <c r="B13" s="38" t="str">
        <f>Jan!B17</f>
        <v>S C Behera</v>
      </c>
      <c r="C13" s="2"/>
      <c r="D13" s="2"/>
      <c r="E13" s="3"/>
      <c r="F13" s="3"/>
      <c r="G13" s="2"/>
      <c r="H13" s="2"/>
      <c r="I13" s="2"/>
      <c r="J13" s="2"/>
      <c r="K13" s="2"/>
      <c r="L13" s="2" t="s">
        <v>40</v>
      </c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1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jULY24!A14+jULY24!AI14+jULY24!AJ14-jULY24!AH14</f>
        <v>61</v>
      </c>
      <c r="B14" s="38" t="str">
        <f>Jan!B20</f>
        <v>M C Tudu</v>
      </c>
      <c r="C14" s="2"/>
      <c r="D14" s="2"/>
      <c r="E14" s="3"/>
      <c r="F14" s="3"/>
      <c r="G14" s="2"/>
      <c r="H14" s="2"/>
      <c r="I14" s="2"/>
      <c r="J14" s="2" t="s">
        <v>39</v>
      </c>
      <c r="K14" s="2" t="s">
        <v>40</v>
      </c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ref="AH14" si="2">COUNTIF(C14:AG14, "CO")</f>
        <v>1</v>
      </c>
      <c r="AI14" s="2">
        <f t="shared" ref="AI14" si="3">COUNTIF(C14:AG14, "E")</f>
        <v>1</v>
      </c>
      <c r="AJ14" s="2">
        <v>1</v>
      </c>
    </row>
    <row r="15" spans="1:36" ht="20.100000000000001" customHeight="1" x14ac:dyDescent="0.25">
      <c r="A15" s="19">
        <f>jULY24!A15+jULY24!AI15+jULY24!AJ15-jULY24!AH15</f>
        <v>47</v>
      </c>
      <c r="B15" s="38" t="str">
        <f>Jan!B15</f>
        <v>D Pangi</v>
      </c>
      <c r="C15" s="2"/>
      <c r="D15" s="2"/>
      <c r="E15" s="2"/>
      <c r="F15" s="3"/>
      <c r="G15" s="3"/>
      <c r="H15" s="3"/>
      <c r="I15" s="3"/>
      <c r="J15" s="3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4:A5"/>
    <mergeCell ref="B4:B5"/>
    <mergeCell ref="AH4:AH5"/>
    <mergeCell ref="AI4:AI5"/>
    <mergeCell ref="AJ4:AJ5"/>
    <mergeCell ref="C16:AH16"/>
    <mergeCell ref="AF21:AF23"/>
    <mergeCell ref="AE1:AH1"/>
  </mergeCells>
  <conditionalFormatting sqref="O6:AG6 C8:L8 N8 D9:AG9 C13:D14 G13:AG14 C6:K6 D7:L7 C15:AG15 C10:AG12 R7:AG8">
    <cfRule type="containsText" dxfId="163" priority="17" operator="containsText" text="e">
      <formula>NOT(ISERROR(SEARCH("e",C6)))</formula>
    </cfRule>
    <cfRule type="containsText" dxfId="162" priority="18" operator="containsText" text="co">
      <formula>NOT(ISERROR(SEARCH("co",C6)))</formula>
    </cfRule>
  </conditionalFormatting>
  <conditionalFormatting sqref="L6">
    <cfRule type="containsText" dxfId="161" priority="15" operator="containsText" text="e">
      <formula>NOT(ISERROR(SEARCH("e",L6)))</formula>
    </cfRule>
    <cfRule type="containsText" dxfId="160" priority="16" operator="containsText" text="co">
      <formula>NOT(ISERROR(SEARCH("co",L6)))</formula>
    </cfRule>
  </conditionalFormatting>
  <conditionalFormatting sqref="M6:N6">
    <cfRule type="containsText" dxfId="159" priority="13" operator="containsText" text="e">
      <formula>NOT(ISERROR(SEARCH("e",M6)))</formula>
    </cfRule>
    <cfRule type="containsText" dxfId="158" priority="14" operator="containsText" text="co">
      <formula>NOT(ISERROR(SEARCH("co",M6)))</formula>
    </cfRule>
  </conditionalFormatting>
  <conditionalFormatting sqref="M7:Q7">
    <cfRule type="containsText" dxfId="157" priority="11" operator="containsText" text="e">
      <formula>NOT(ISERROR(SEARCH("e",M7)))</formula>
    </cfRule>
    <cfRule type="containsText" dxfId="156" priority="12" operator="containsText" text="co">
      <formula>NOT(ISERROR(SEARCH("co",M7)))</formula>
    </cfRule>
  </conditionalFormatting>
  <conditionalFormatting sqref="M8">
    <cfRule type="containsText" dxfId="155" priority="9" operator="containsText" text="e">
      <formula>NOT(ISERROR(SEARCH("e",M8)))</formula>
    </cfRule>
    <cfRule type="containsText" dxfId="154" priority="10" operator="containsText" text="co">
      <formula>NOT(ISERROR(SEARCH("co",M8)))</formula>
    </cfRule>
  </conditionalFormatting>
  <conditionalFormatting sqref="O8:Q8">
    <cfRule type="containsText" dxfId="153" priority="7" operator="containsText" text="e">
      <formula>NOT(ISERROR(SEARCH("e",O8)))</formula>
    </cfRule>
    <cfRule type="containsText" dxfId="152" priority="8" operator="containsText" text="co">
      <formula>NOT(ISERROR(SEARCH("co",O8)))</formula>
    </cfRule>
  </conditionalFormatting>
  <conditionalFormatting sqref="C9">
    <cfRule type="containsText" dxfId="151" priority="5" operator="containsText" text="e">
      <formula>NOT(ISERROR(SEARCH("e",C9)))</formula>
    </cfRule>
    <cfRule type="containsText" dxfId="150" priority="6" operator="containsText" text="co">
      <formula>NOT(ISERROR(SEARCH("co",C9)))</formula>
    </cfRule>
  </conditionalFormatting>
  <conditionalFormatting sqref="E13:F14">
    <cfRule type="containsText" dxfId="149" priority="3" operator="containsText" text="e">
      <formula>NOT(ISERROR(SEARCH("e",E13)))</formula>
    </cfRule>
    <cfRule type="containsText" dxfId="148" priority="4" operator="containsText" text="co">
      <formula>NOT(ISERROR(SEARCH("co",E13)))</formula>
    </cfRule>
  </conditionalFormatting>
  <conditionalFormatting sqref="C7">
    <cfRule type="containsText" dxfId="147" priority="1" operator="containsText" text="e">
      <formula>NOT(ISERROR(SEARCH("e",C7)))</formula>
    </cfRule>
    <cfRule type="containsText" dxfId="146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zoomScaleNormal="100" workbookViewId="0">
      <selection activeCell="AE2" sqref="AE2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7" x14ac:dyDescent="0.25">
      <c r="B1" s="6" t="s">
        <v>10</v>
      </c>
      <c r="C1" s="6"/>
      <c r="AE1" s="57" t="s">
        <v>76</v>
      </c>
      <c r="AF1" s="57"/>
      <c r="AG1" s="57"/>
      <c r="AH1" s="57"/>
    </row>
    <row r="2" spans="1:37" ht="12" customHeight="1" x14ac:dyDescent="0.25"/>
    <row r="3" spans="1:37" ht="12" customHeight="1" x14ac:dyDescent="0.25"/>
    <row r="4" spans="1:37" ht="12" customHeight="1" x14ac:dyDescent="0.25">
      <c r="A4" s="61" t="s">
        <v>38</v>
      </c>
      <c r="B4" s="62" t="s">
        <v>9</v>
      </c>
      <c r="C4" s="38">
        <v>1</v>
      </c>
      <c r="D4" s="38">
        <v>2</v>
      </c>
      <c r="E4" s="38">
        <v>3</v>
      </c>
      <c r="F4" s="38">
        <v>4</v>
      </c>
      <c r="G4" s="38">
        <v>5</v>
      </c>
      <c r="H4" s="38">
        <v>6</v>
      </c>
      <c r="I4" s="38">
        <v>7</v>
      </c>
      <c r="J4" s="38">
        <v>8</v>
      </c>
      <c r="K4" s="38">
        <v>9</v>
      </c>
      <c r="L4" s="38">
        <v>10</v>
      </c>
      <c r="M4" s="38">
        <v>11</v>
      </c>
      <c r="N4" s="38">
        <v>12</v>
      </c>
      <c r="O4" s="38">
        <v>13</v>
      </c>
      <c r="P4" s="38">
        <v>14</v>
      </c>
      <c r="Q4" s="38">
        <v>15</v>
      </c>
      <c r="R4" s="38">
        <v>16</v>
      </c>
      <c r="S4" s="38">
        <v>17</v>
      </c>
      <c r="T4" s="38">
        <v>18</v>
      </c>
      <c r="U4" s="38">
        <v>19</v>
      </c>
      <c r="V4" s="38">
        <v>20</v>
      </c>
      <c r="W4" s="38">
        <v>21</v>
      </c>
      <c r="X4" s="38">
        <v>22</v>
      </c>
      <c r="Y4" s="38">
        <v>23</v>
      </c>
      <c r="Z4" s="38">
        <v>24</v>
      </c>
      <c r="AA4" s="38">
        <v>25</v>
      </c>
      <c r="AB4" s="38">
        <v>26</v>
      </c>
      <c r="AC4" s="38">
        <v>27</v>
      </c>
      <c r="AD4" s="38">
        <v>28</v>
      </c>
      <c r="AE4" s="38">
        <v>29</v>
      </c>
      <c r="AF4" s="38">
        <v>30</v>
      </c>
      <c r="AG4" s="38"/>
      <c r="AH4" s="55" t="s">
        <v>34</v>
      </c>
      <c r="AI4" s="55" t="s">
        <v>32</v>
      </c>
      <c r="AJ4" s="55" t="s">
        <v>33</v>
      </c>
    </row>
    <row r="5" spans="1:37" ht="12" customHeight="1" x14ac:dyDescent="0.25">
      <c r="A5" s="61"/>
      <c r="B5" s="62"/>
      <c r="C5" s="38" t="s">
        <v>55</v>
      </c>
      <c r="D5" s="38" t="s">
        <v>56</v>
      </c>
      <c r="E5" s="38" t="s">
        <v>57</v>
      </c>
      <c r="F5" s="38" t="s">
        <v>58</v>
      </c>
      <c r="G5" s="38" t="s">
        <v>59</v>
      </c>
      <c r="H5" s="38" t="s">
        <v>60</v>
      </c>
      <c r="I5" s="38" t="s">
        <v>54</v>
      </c>
      <c r="J5" s="38" t="s">
        <v>55</v>
      </c>
      <c r="K5" s="38" t="s">
        <v>56</v>
      </c>
      <c r="L5" s="38" t="s">
        <v>57</v>
      </c>
      <c r="M5" s="38" t="s">
        <v>58</v>
      </c>
      <c r="N5" s="38" t="s">
        <v>59</v>
      </c>
      <c r="O5" s="38" t="s">
        <v>60</v>
      </c>
      <c r="P5" s="38" t="s">
        <v>54</v>
      </c>
      <c r="Q5" s="38" t="s">
        <v>55</v>
      </c>
      <c r="R5" s="38" t="s">
        <v>56</v>
      </c>
      <c r="S5" s="38" t="s">
        <v>57</v>
      </c>
      <c r="T5" s="38" t="s">
        <v>58</v>
      </c>
      <c r="U5" s="38" t="s">
        <v>59</v>
      </c>
      <c r="V5" s="38" t="s">
        <v>60</v>
      </c>
      <c r="W5" s="38" t="s">
        <v>54</v>
      </c>
      <c r="X5" s="38" t="s">
        <v>55</v>
      </c>
      <c r="Y5" s="38" t="s">
        <v>56</v>
      </c>
      <c r="Z5" s="38" t="s">
        <v>57</v>
      </c>
      <c r="AA5" s="38" t="s">
        <v>58</v>
      </c>
      <c r="AB5" s="38" t="s">
        <v>59</v>
      </c>
      <c r="AC5" s="38" t="s">
        <v>60</v>
      </c>
      <c r="AD5" s="38" t="s">
        <v>54</v>
      </c>
      <c r="AE5" s="38" t="s">
        <v>55</v>
      </c>
      <c r="AF5" s="38" t="s">
        <v>56</v>
      </c>
      <c r="AG5" s="38"/>
      <c r="AH5" s="56"/>
      <c r="AI5" s="56"/>
      <c r="AJ5" s="56"/>
    </row>
    <row r="6" spans="1:37" ht="20.100000000000001" customHeight="1" x14ac:dyDescent="0.25">
      <c r="A6" s="19">
        <f>'aUG''24'!A6+'aUG''24'!AI6+'aUG''24'!AJ6</f>
        <v>5</v>
      </c>
      <c r="B6" s="38" t="str">
        <f>Jan!B6</f>
        <v>KC Tirkey</v>
      </c>
      <c r="C6" s="2" t="s">
        <v>40</v>
      </c>
      <c r="D6" s="2" t="s">
        <v>40</v>
      </c>
      <c r="E6" s="2" t="s">
        <v>40</v>
      </c>
      <c r="F6" s="2" t="s">
        <v>40</v>
      </c>
      <c r="G6" s="2" t="s">
        <v>40</v>
      </c>
      <c r="H6" s="2"/>
      <c r="I6" s="3"/>
      <c r="J6" s="3"/>
      <c r="K6" s="3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 t="s">
        <v>40</v>
      </c>
      <c r="AD6" s="2"/>
      <c r="AE6" s="2"/>
      <c r="AF6" s="2"/>
      <c r="AG6" s="2"/>
      <c r="AH6" s="2">
        <f>COUNTIF(C6:AG6, "CO")</f>
        <v>6</v>
      </c>
      <c r="AI6" s="2">
        <f t="shared" ref="AI6:AI15" si="0">COUNTIF(C6:AG6, "E")</f>
        <v>0</v>
      </c>
      <c r="AJ6" s="2">
        <v>1</v>
      </c>
      <c r="AK6">
        <f>A6+AI6+AJ6-AH6</f>
        <v>0</v>
      </c>
    </row>
    <row r="7" spans="1:37" ht="20.100000000000001" customHeight="1" x14ac:dyDescent="0.25">
      <c r="A7" s="19">
        <f>'aUG''24'!A7+'aUG''24'!AI7+'aUG''24'!AJ7</f>
        <v>28</v>
      </c>
      <c r="B7" s="38" t="str">
        <f>Jan!B7</f>
        <v>GN Madhei</v>
      </c>
      <c r="C7" s="2" t="s">
        <v>40</v>
      </c>
      <c r="D7" s="2" t="s">
        <v>40</v>
      </c>
      <c r="E7" s="2" t="s">
        <v>40</v>
      </c>
      <c r="F7" s="2"/>
      <c r="G7" s="2" t="s">
        <v>40</v>
      </c>
      <c r="H7" s="2"/>
      <c r="I7" s="2" t="s">
        <v>40</v>
      </c>
      <c r="J7" s="2" t="s">
        <v>40</v>
      </c>
      <c r="K7" s="2" t="s">
        <v>40</v>
      </c>
      <c r="L7" s="2" t="s">
        <v>40</v>
      </c>
      <c r="M7" s="3"/>
      <c r="N7" s="3" t="s">
        <v>40</v>
      </c>
      <c r="O7" s="3" t="s">
        <v>40</v>
      </c>
      <c r="P7" s="3" t="s">
        <v>40</v>
      </c>
      <c r="Q7" s="3"/>
      <c r="R7" s="2" t="s">
        <v>39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40</v>
      </c>
      <c r="AG7" s="2"/>
      <c r="AH7" s="2">
        <f>COUNTIF(C7:AG7, "CO")</f>
        <v>12</v>
      </c>
      <c r="AI7" s="2">
        <f t="shared" si="0"/>
        <v>1</v>
      </c>
      <c r="AJ7" s="2">
        <v>1</v>
      </c>
    </row>
    <row r="8" spans="1:37" ht="20.100000000000001" customHeight="1" x14ac:dyDescent="0.25">
      <c r="A8" s="19">
        <f>'aUG''24'!A8+'aUG''24'!AI8+'aUG''24'!AJ8</f>
        <v>66</v>
      </c>
      <c r="B8" s="38" t="str">
        <f>Jan!B18</f>
        <v>S K Sahoo</v>
      </c>
      <c r="C8" s="2"/>
      <c r="D8" s="2" t="s">
        <v>39</v>
      </c>
      <c r="E8" s="2"/>
      <c r="F8" s="3"/>
      <c r="G8" s="3"/>
      <c r="H8" s="2"/>
      <c r="I8" s="2"/>
      <c r="J8" s="2"/>
      <c r="K8" s="2"/>
      <c r="L8" s="2"/>
      <c r="M8" s="3"/>
      <c r="N8" s="3" t="s">
        <v>40</v>
      </c>
      <c r="O8" s="3"/>
      <c r="P8" s="3" t="s">
        <v>40</v>
      </c>
      <c r="Q8" s="3"/>
      <c r="R8" s="2" t="s">
        <v>40</v>
      </c>
      <c r="S8" s="2" t="s">
        <v>40</v>
      </c>
      <c r="T8" s="3"/>
      <c r="U8" s="3"/>
      <c r="V8" s="2"/>
      <c r="W8" s="2"/>
      <c r="X8" s="2"/>
      <c r="Y8" s="2"/>
      <c r="Z8" s="2"/>
      <c r="AA8" s="3"/>
      <c r="AB8" s="3"/>
      <c r="AC8" s="2"/>
      <c r="AD8" s="2"/>
      <c r="AE8" s="2"/>
      <c r="AF8" s="2"/>
      <c r="AG8" s="2"/>
      <c r="AH8" s="2">
        <f>COUNTIF(C8:AG8, "CO")</f>
        <v>4</v>
      </c>
      <c r="AI8" s="2">
        <f t="shared" si="0"/>
        <v>1</v>
      </c>
      <c r="AJ8" s="2">
        <v>1</v>
      </c>
    </row>
    <row r="9" spans="1:37" ht="20.100000000000001" customHeight="1" x14ac:dyDescent="0.25">
      <c r="A9" s="19">
        <f>'aUG''24'!A9+'aUG''24'!AI9+'aUG''24'!AJ9</f>
        <v>41</v>
      </c>
      <c r="B9" s="38" t="str">
        <f>Jan!B10</f>
        <v>SK Maharana</v>
      </c>
      <c r="C9" s="3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/>
      <c r="U9" s="3" t="s">
        <v>40</v>
      </c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1</v>
      </c>
      <c r="AI9" s="2">
        <f t="shared" si="0"/>
        <v>0</v>
      </c>
      <c r="AJ9" s="2">
        <v>1</v>
      </c>
    </row>
    <row r="10" spans="1:37" ht="20.100000000000001" customHeight="1" x14ac:dyDescent="0.25">
      <c r="A10" s="19">
        <f>'aUG''24'!A10+'aUG''24'!AI10+'aUG''24'!AJ10</f>
        <v>32</v>
      </c>
      <c r="B10" s="38" t="str">
        <f>Jan!B19</f>
        <v>A K Dalai</v>
      </c>
      <c r="C10" s="2"/>
      <c r="D10" s="2"/>
      <c r="E10" s="2"/>
      <c r="F10" s="3"/>
      <c r="G10" s="3" t="s">
        <v>40</v>
      </c>
      <c r="H10" s="2" t="s">
        <v>40</v>
      </c>
      <c r="I10" s="2"/>
      <c r="J10" s="2" t="s">
        <v>39</v>
      </c>
      <c r="K10" s="2" t="s">
        <v>39</v>
      </c>
      <c r="L10" s="2"/>
      <c r="M10" s="3"/>
      <c r="N10" s="3" t="s">
        <v>39</v>
      </c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 t="shared" ref="AH10:AH15" si="1">COUNTIF(C10:AG10, "CO")</f>
        <v>2</v>
      </c>
      <c r="AI10" s="2">
        <f t="shared" si="0"/>
        <v>3</v>
      </c>
      <c r="AJ10" s="2">
        <v>1</v>
      </c>
    </row>
    <row r="11" spans="1:37" ht="20.100000000000001" customHeight="1" x14ac:dyDescent="0.25">
      <c r="A11" s="19">
        <f>'aUG''24'!A11+'aUG''24'!AI11+'aUG''24'!AJ11</f>
        <v>58</v>
      </c>
      <c r="B11" s="38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 t="s">
        <v>40</v>
      </c>
      <c r="U11" s="3" t="s">
        <v>40</v>
      </c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si="1"/>
        <v>2</v>
      </c>
      <c r="AI11" s="2">
        <f t="shared" si="0"/>
        <v>0</v>
      </c>
      <c r="AJ11" s="2">
        <v>1</v>
      </c>
    </row>
    <row r="12" spans="1:37" ht="20.100000000000001" customHeight="1" x14ac:dyDescent="0.25">
      <c r="A12" s="19">
        <f>'aUG''24'!A12+'aUG''24'!AI12+'aUG''24'!AJ12</f>
        <v>56</v>
      </c>
      <c r="B12" s="38" t="str">
        <f>Jan!B16</f>
        <v>M Bishi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0</v>
      </c>
      <c r="AJ12" s="2">
        <v>1</v>
      </c>
    </row>
    <row r="13" spans="1:37" ht="20.100000000000001" customHeight="1" x14ac:dyDescent="0.25">
      <c r="A13" s="19">
        <f>'aUG''24'!A13+'aUG''24'!AI13+'aUG''24'!AJ13</f>
        <v>14</v>
      </c>
      <c r="B13" s="38" t="str">
        <f>Jan!B17</f>
        <v>S C Behera</v>
      </c>
      <c r="C13" s="2"/>
      <c r="D13" s="2"/>
      <c r="E13" s="3"/>
      <c r="F13" s="3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 t="s">
        <v>40</v>
      </c>
      <c r="AC13" s="2"/>
      <c r="AD13" s="2"/>
      <c r="AE13" s="2"/>
      <c r="AF13" s="2"/>
      <c r="AG13" s="2"/>
      <c r="AH13" s="2">
        <f t="shared" si="1"/>
        <v>1</v>
      </c>
      <c r="AI13" s="2">
        <f t="shared" si="0"/>
        <v>0</v>
      </c>
      <c r="AJ13" s="2">
        <v>1</v>
      </c>
    </row>
    <row r="14" spans="1:37" ht="20.100000000000001" customHeight="1" x14ac:dyDescent="0.25">
      <c r="A14" s="19">
        <f>'aUG''24'!A14+'aUG''24'!AI14+'aUG''24'!AJ14</f>
        <v>63</v>
      </c>
      <c r="B14" s="38" t="str">
        <f>Jan!B20</f>
        <v>M C Tudu</v>
      </c>
      <c r="C14" s="2"/>
      <c r="D14" s="2"/>
      <c r="E14" s="3"/>
      <c r="F14" s="3"/>
      <c r="G14" s="2" t="s">
        <v>39</v>
      </c>
      <c r="H14" s="2" t="s">
        <v>39</v>
      </c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 t="s">
        <v>40</v>
      </c>
      <c r="V14" s="2" t="s">
        <v>40</v>
      </c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ref="AH14" si="2">COUNTIF(C14:AG14, "CO")</f>
        <v>2</v>
      </c>
      <c r="AI14" s="2">
        <f t="shared" ref="AI14" si="3">COUNTIF(C14:AG14, "E")</f>
        <v>2</v>
      </c>
      <c r="AJ14" s="2">
        <v>1</v>
      </c>
    </row>
    <row r="15" spans="1:37" ht="20.100000000000001" customHeight="1" x14ac:dyDescent="0.25">
      <c r="A15" s="19">
        <f>'aUG''24'!A15+'aUG''24'!AI15+'aUG''24'!AJ15</f>
        <v>48</v>
      </c>
      <c r="B15" s="38" t="str">
        <f>Jan!B15</f>
        <v>D Pangi</v>
      </c>
      <c r="C15" s="2"/>
      <c r="D15" s="2"/>
      <c r="E15" s="2"/>
      <c r="F15" s="3"/>
      <c r="G15" s="3"/>
      <c r="H15" s="3"/>
      <c r="I15" s="3"/>
      <c r="J15" s="3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7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4:A5"/>
    <mergeCell ref="B4:B5"/>
    <mergeCell ref="AH4:AH5"/>
    <mergeCell ref="AI4:AI5"/>
    <mergeCell ref="AJ4:AJ5"/>
    <mergeCell ref="C16:AH16"/>
    <mergeCell ref="AF21:AF23"/>
    <mergeCell ref="AE1:AH1"/>
  </mergeCells>
  <conditionalFormatting sqref="AG7 O6:AG6 C8:L8 N8 R8:AG8 D9:AG9 C13:D14 G13:AG14 R7:AE7 C10:AG12 C15:AG15 C6:K6 D7:L7">
    <cfRule type="containsText" dxfId="145" priority="19" operator="containsText" text="e">
      <formula>NOT(ISERROR(SEARCH("e",C6)))</formula>
    </cfRule>
    <cfRule type="containsText" dxfId="144" priority="20" operator="containsText" text="co">
      <formula>NOT(ISERROR(SEARCH("co",C6)))</formula>
    </cfRule>
  </conditionalFormatting>
  <conditionalFormatting sqref="L6">
    <cfRule type="containsText" dxfId="143" priority="17" operator="containsText" text="e">
      <formula>NOT(ISERROR(SEARCH("e",L6)))</formula>
    </cfRule>
    <cfRule type="containsText" dxfId="142" priority="18" operator="containsText" text="co">
      <formula>NOT(ISERROR(SEARCH("co",L6)))</formula>
    </cfRule>
  </conditionalFormatting>
  <conditionalFormatting sqref="M6:N6">
    <cfRule type="containsText" dxfId="141" priority="15" operator="containsText" text="e">
      <formula>NOT(ISERROR(SEARCH("e",M6)))</formula>
    </cfRule>
    <cfRule type="containsText" dxfId="140" priority="16" operator="containsText" text="co">
      <formula>NOT(ISERROR(SEARCH("co",M6)))</formula>
    </cfRule>
  </conditionalFormatting>
  <conditionalFormatting sqref="M7:Q7">
    <cfRule type="containsText" dxfId="139" priority="13" operator="containsText" text="e">
      <formula>NOT(ISERROR(SEARCH("e",M7)))</formula>
    </cfRule>
    <cfRule type="containsText" dxfId="138" priority="14" operator="containsText" text="co">
      <formula>NOT(ISERROR(SEARCH("co",M7)))</formula>
    </cfRule>
  </conditionalFormatting>
  <conditionalFormatting sqref="M8">
    <cfRule type="containsText" dxfId="137" priority="11" operator="containsText" text="e">
      <formula>NOT(ISERROR(SEARCH("e",M8)))</formula>
    </cfRule>
    <cfRule type="containsText" dxfId="136" priority="12" operator="containsText" text="co">
      <formula>NOT(ISERROR(SEARCH("co",M8)))</formula>
    </cfRule>
  </conditionalFormatting>
  <conditionalFormatting sqref="O8:Q8">
    <cfRule type="containsText" dxfId="135" priority="9" operator="containsText" text="e">
      <formula>NOT(ISERROR(SEARCH("e",O8)))</formula>
    </cfRule>
    <cfRule type="containsText" dxfId="134" priority="10" operator="containsText" text="co">
      <formula>NOT(ISERROR(SEARCH("co",O8)))</formula>
    </cfRule>
  </conditionalFormatting>
  <conditionalFormatting sqref="C9">
    <cfRule type="containsText" dxfId="133" priority="7" operator="containsText" text="e">
      <formula>NOT(ISERROR(SEARCH("e",C9)))</formula>
    </cfRule>
    <cfRule type="containsText" dxfId="132" priority="8" operator="containsText" text="co">
      <formula>NOT(ISERROR(SEARCH("co",C9)))</formula>
    </cfRule>
  </conditionalFormatting>
  <conditionalFormatting sqref="E13:F14">
    <cfRule type="containsText" dxfId="131" priority="5" operator="containsText" text="e">
      <formula>NOT(ISERROR(SEARCH("e",E13)))</formula>
    </cfRule>
    <cfRule type="containsText" dxfId="130" priority="6" operator="containsText" text="co">
      <formula>NOT(ISERROR(SEARCH("co",E13)))</formula>
    </cfRule>
  </conditionalFormatting>
  <conditionalFormatting sqref="C7">
    <cfRule type="containsText" dxfId="129" priority="3" operator="containsText" text="e">
      <formula>NOT(ISERROR(SEARCH("e",C7)))</formula>
    </cfRule>
    <cfRule type="containsText" dxfId="128" priority="4" operator="containsText" text="co">
      <formula>NOT(ISERROR(SEARCH("co",C7)))</formula>
    </cfRule>
  </conditionalFormatting>
  <conditionalFormatting sqref="AF7">
    <cfRule type="containsText" dxfId="127" priority="1" operator="containsText" text="e">
      <formula>NOT(ISERROR(SEARCH("e",AF7)))</formula>
    </cfRule>
    <cfRule type="containsText" dxfId="126" priority="2" operator="containsText" text="co">
      <formula>NOT(ISERROR(SEARCH("co",AF7)))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13" sqref="A13:XFD13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77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40">
        <v>1</v>
      </c>
      <c r="D4" s="40">
        <v>2</v>
      </c>
      <c r="E4" s="40">
        <v>3</v>
      </c>
      <c r="F4" s="40">
        <v>4</v>
      </c>
      <c r="G4" s="40">
        <v>5</v>
      </c>
      <c r="H4" s="40">
        <v>6</v>
      </c>
      <c r="I4" s="40">
        <v>7</v>
      </c>
      <c r="J4" s="40">
        <v>8</v>
      </c>
      <c r="K4" s="40">
        <v>9</v>
      </c>
      <c r="L4" s="40">
        <v>10</v>
      </c>
      <c r="M4" s="40">
        <v>11</v>
      </c>
      <c r="N4" s="40">
        <v>12</v>
      </c>
      <c r="O4" s="40">
        <v>13</v>
      </c>
      <c r="P4" s="40">
        <v>14</v>
      </c>
      <c r="Q4" s="40">
        <v>15</v>
      </c>
      <c r="R4" s="40">
        <v>16</v>
      </c>
      <c r="S4" s="40">
        <v>17</v>
      </c>
      <c r="T4" s="40">
        <v>18</v>
      </c>
      <c r="U4" s="40">
        <v>19</v>
      </c>
      <c r="V4" s="40">
        <v>20</v>
      </c>
      <c r="W4" s="40">
        <v>21</v>
      </c>
      <c r="X4" s="40">
        <v>22</v>
      </c>
      <c r="Y4" s="40">
        <v>23</v>
      </c>
      <c r="Z4" s="40">
        <v>24</v>
      </c>
      <c r="AA4" s="40">
        <v>25</v>
      </c>
      <c r="AB4" s="40">
        <v>26</v>
      </c>
      <c r="AC4" s="40">
        <v>27</v>
      </c>
      <c r="AD4" s="40">
        <v>28</v>
      </c>
      <c r="AE4" s="40">
        <v>29</v>
      </c>
      <c r="AF4" s="40">
        <v>30</v>
      </c>
      <c r="AG4" s="40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40" t="s">
        <v>57</v>
      </c>
      <c r="D5" s="40" t="s">
        <v>58</v>
      </c>
      <c r="E5" s="40" t="s">
        <v>59</v>
      </c>
      <c r="F5" s="40" t="s">
        <v>60</v>
      </c>
      <c r="G5" s="40" t="s">
        <v>54</v>
      </c>
      <c r="H5" s="40" t="s">
        <v>55</v>
      </c>
      <c r="I5" s="40" t="s">
        <v>56</v>
      </c>
      <c r="J5" s="40" t="s">
        <v>57</v>
      </c>
      <c r="K5" s="40" t="s">
        <v>58</v>
      </c>
      <c r="L5" s="40" t="s">
        <v>59</v>
      </c>
      <c r="M5" s="40" t="s">
        <v>60</v>
      </c>
      <c r="N5" s="40" t="s">
        <v>54</v>
      </c>
      <c r="O5" s="40" t="s">
        <v>55</v>
      </c>
      <c r="P5" s="40" t="s">
        <v>56</v>
      </c>
      <c r="Q5" s="40" t="s">
        <v>57</v>
      </c>
      <c r="R5" s="40" t="s">
        <v>58</v>
      </c>
      <c r="S5" s="40" t="s">
        <v>59</v>
      </c>
      <c r="T5" s="40" t="s">
        <v>60</v>
      </c>
      <c r="U5" s="40" t="s">
        <v>54</v>
      </c>
      <c r="V5" s="40" t="s">
        <v>55</v>
      </c>
      <c r="W5" s="40" t="s">
        <v>56</v>
      </c>
      <c r="X5" s="40" t="s">
        <v>57</v>
      </c>
      <c r="Y5" s="40" t="s">
        <v>58</v>
      </c>
      <c r="Z5" s="40" t="s">
        <v>59</v>
      </c>
      <c r="AA5" s="40" t="s">
        <v>60</v>
      </c>
      <c r="AB5" s="40" t="s">
        <v>54</v>
      </c>
      <c r="AC5" s="40" t="s">
        <v>55</v>
      </c>
      <c r="AD5" s="40" t="s">
        <v>56</v>
      </c>
      <c r="AE5" s="40" t="s">
        <v>57</v>
      </c>
      <c r="AF5" s="40" t="s">
        <v>58</v>
      </c>
      <c r="AG5" s="40" t="s">
        <v>59</v>
      </c>
      <c r="AH5" s="56"/>
      <c r="AI5" s="56"/>
      <c r="AJ5" s="56"/>
    </row>
    <row r="6" spans="1:36" ht="20.100000000000001" customHeight="1" x14ac:dyDescent="0.25">
      <c r="A6" s="19">
        <v>37</v>
      </c>
      <c r="B6" s="40" t="str">
        <f>Jan!B21</f>
        <v>S R Mahto</v>
      </c>
      <c r="C6" s="2" t="s">
        <v>39</v>
      </c>
      <c r="D6" s="2"/>
      <c r="E6" s="2"/>
      <c r="F6" s="2"/>
      <c r="G6" s="2"/>
      <c r="H6" s="2" t="s">
        <v>39</v>
      </c>
      <c r="I6" s="3"/>
      <c r="J6" s="3"/>
      <c r="K6" s="3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  <c r="AD6" s="2"/>
      <c r="AE6" s="2"/>
      <c r="AF6" s="2" t="s">
        <v>39</v>
      </c>
      <c r="AG6" s="2"/>
      <c r="AH6" s="2">
        <f>COUNTIF(C6:AG6, "CO")</f>
        <v>5</v>
      </c>
      <c r="AI6" s="2">
        <f t="shared" ref="AI6:AI15" si="0">COUNTIF(C6:AG6, "E")</f>
        <v>3</v>
      </c>
      <c r="AJ6" s="2">
        <v>1</v>
      </c>
    </row>
    <row r="7" spans="1:36" ht="20.100000000000001" customHeight="1" x14ac:dyDescent="0.25">
      <c r="A7" s="19">
        <f>'Sep''24'!A7+'Sep''24'!AI7+'Sep''24'!AJ7-'Sep''24'!AH7</f>
        <v>18</v>
      </c>
      <c r="B7" s="40" t="str">
        <f>Jan!B7</f>
        <v>GN Madhei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2"/>
      <c r="S7" s="2" t="s">
        <v>39</v>
      </c>
      <c r="T7" s="2"/>
      <c r="U7" s="2"/>
      <c r="V7" s="2" t="s">
        <v>40</v>
      </c>
      <c r="W7" s="2" t="s">
        <v>40</v>
      </c>
      <c r="X7" s="2"/>
      <c r="Y7" s="2"/>
      <c r="Z7" s="2"/>
      <c r="AA7" s="2" t="s">
        <v>40</v>
      </c>
      <c r="AB7" s="2" t="s">
        <v>40</v>
      </c>
      <c r="AC7" s="2" t="s">
        <v>39</v>
      </c>
      <c r="AD7" s="2"/>
      <c r="AE7" s="2"/>
      <c r="AG7" s="2"/>
      <c r="AH7" s="2">
        <f>COUNTIF(C7:AG7, "CO")</f>
        <v>4</v>
      </c>
      <c r="AI7" s="2">
        <f t="shared" si="0"/>
        <v>2</v>
      </c>
      <c r="AJ7" s="2">
        <v>1</v>
      </c>
    </row>
    <row r="8" spans="1:36" ht="20.100000000000001" customHeight="1" x14ac:dyDescent="0.25">
      <c r="A8" s="19">
        <f>'Sep''24'!A8+'Sep''24'!AI8+'Sep''24'!AJ8-'Sep''24'!AH8</f>
        <v>64</v>
      </c>
      <c r="B8" s="40" t="str">
        <f>Jan!B18</f>
        <v>S K Sahoo</v>
      </c>
      <c r="C8" s="2"/>
      <c r="D8" s="2"/>
      <c r="E8" s="2"/>
      <c r="F8" s="3"/>
      <c r="G8" s="3"/>
      <c r="H8" s="2"/>
      <c r="I8" s="2"/>
      <c r="J8" s="2"/>
      <c r="K8" s="2"/>
      <c r="L8" s="2"/>
      <c r="M8" s="3"/>
      <c r="N8" s="3"/>
      <c r="O8" s="3"/>
      <c r="P8" s="3"/>
      <c r="Q8" s="3"/>
      <c r="R8" s="2"/>
      <c r="S8" s="2"/>
      <c r="T8" s="3"/>
      <c r="U8" s="3"/>
      <c r="V8" s="2"/>
      <c r="W8" s="2"/>
      <c r="X8" s="2"/>
      <c r="Y8" s="2"/>
      <c r="Z8" s="2" t="s">
        <v>40</v>
      </c>
      <c r="AA8" s="3"/>
      <c r="AB8" s="3" t="s">
        <v>40</v>
      </c>
      <c r="AC8" s="2" t="s">
        <v>40</v>
      </c>
      <c r="AD8" s="2"/>
      <c r="AE8" s="2"/>
      <c r="AF8" s="2"/>
      <c r="AG8" s="2"/>
      <c r="AH8" s="2">
        <f>COUNTIF(C8:AG8, "CO")</f>
        <v>3</v>
      </c>
      <c r="AI8" s="2">
        <f t="shared" si="0"/>
        <v>0</v>
      </c>
      <c r="AJ8" s="2">
        <v>1</v>
      </c>
    </row>
    <row r="9" spans="1:36" ht="20.100000000000001" customHeight="1" x14ac:dyDescent="0.25">
      <c r="A9" s="19">
        <f>'Sep''24'!A9+'Sep''24'!AI9+'Sep''24'!AJ9-'Sep''24'!AH9</f>
        <v>41</v>
      </c>
      <c r="B9" s="40" t="str">
        <f>Jan!B10</f>
        <v>SK Maharana</v>
      </c>
      <c r="C9" s="3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2"/>
      <c r="P9" s="2" t="s">
        <v>40</v>
      </c>
      <c r="Q9" s="2" t="s">
        <v>40</v>
      </c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2</v>
      </c>
      <c r="AI9" s="2">
        <f t="shared" si="0"/>
        <v>0</v>
      </c>
      <c r="AJ9" s="2">
        <v>1</v>
      </c>
    </row>
    <row r="10" spans="1:36" ht="20.100000000000001" customHeight="1" x14ac:dyDescent="0.25">
      <c r="A10" s="19">
        <f>'Sep''24'!A10+'Sep''24'!AI10+'Sep''24'!AJ10-'Sep''24'!AH10</f>
        <v>34</v>
      </c>
      <c r="B10" s="40" t="str">
        <f>Jan!B19</f>
        <v>A K Dalai</v>
      </c>
      <c r="C10" s="2"/>
      <c r="D10" s="2"/>
      <c r="E10" s="2"/>
      <c r="F10" s="3"/>
      <c r="G10" s="3"/>
      <c r="H10" s="2"/>
      <c r="I10" s="2"/>
      <c r="J10" s="2"/>
      <c r="K10" s="2"/>
      <c r="L10" s="2"/>
      <c r="M10" s="3"/>
      <c r="N10" s="3"/>
      <c r="O10" s="2"/>
      <c r="P10" s="2" t="s">
        <v>40</v>
      </c>
      <c r="Q10" s="2" t="s">
        <v>40</v>
      </c>
      <c r="R10" s="2"/>
      <c r="S10" s="2" t="s">
        <v>40</v>
      </c>
      <c r="T10" s="2" t="s">
        <v>40</v>
      </c>
      <c r="U10" s="2" t="s">
        <v>40</v>
      </c>
      <c r="V10" s="2" t="s">
        <v>40</v>
      </c>
      <c r="W10" s="2" t="s">
        <v>40</v>
      </c>
      <c r="X10" s="2"/>
      <c r="Y10" s="2" t="s">
        <v>40</v>
      </c>
      <c r="Z10" s="2"/>
      <c r="AA10" s="3"/>
      <c r="AB10" s="3"/>
      <c r="AC10" s="2"/>
      <c r="AD10" s="2"/>
      <c r="AE10" s="2" t="s">
        <v>40</v>
      </c>
      <c r="AF10" s="2"/>
      <c r="AG10" s="2"/>
      <c r="AH10" s="2">
        <f t="shared" ref="AH10:AH15" si="1">COUNTIF(C10:AG10, "CO")</f>
        <v>9</v>
      </c>
      <c r="AI10" s="2">
        <f t="shared" si="0"/>
        <v>0</v>
      </c>
      <c r="AJ10" s="2">
        <v>1</v>
      </c>
    </row>
    <row r="11" spans="1:36" ht="20.100000000000001" customHeight="1" x14ac:dyDescent="0.25">
      <c r="A11" s="19">
        <f>'Sep''24'!A11+'Sep''24'!AI11+'Sep''24'!AJ11-'Sep''24'!AH11</f>
        <v>57</v>
      </c>
      <c r="B11" s="40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 t="s">
        <v>40</v>
      </c>
      <c r="Q11" s="2" t="s">
        <v>40</v>
      </c>
      <c r="R11" s="2" t="s">
        <v>40</v>
      </c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si="1"/>
        <v>3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'Sep''24'!A12+'Sep''24'!AI12+'Sep''24'!AJ12-'Sep''24'!AH12</f>
        <v>57</v>
      </c>
      <c r="B12" s="40" t="str">
        <f>Jan!B16</f>
        <v>M Bishi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 t="s">
        <v>40</v>
      </c>
      <c r="P12" s="2" t="s">
        <v>40</v>
      </c>
      <c r="Q12" s="2" t="s">
        <v>40</v>
      </c>
      <c r="R12" s="2" t="s">
        <v>40</v>
      </c>
      <c r="S12" s="2"/>
      <c r="T12" s="3" t="s">
        <v>40</v>
      </c>
      <c r="U12" s="3" t="s">
        <v>40</v>
      </c>
      <c r="V12" s="2"/>
      <c r="W12" s="2"/>
      <c r="X12" s="2"/>
      <c r="Y12" s="2"/>
      <c r="Z12" s="2"/>
      <c r="AA12" s="3"/>
      <c r="AB12" s="3" t="s">
        <v>39</v>
      </c>
      <c r="AC12" s="2" t="s">
        <v>39</v>
      </c>
      <c r="AD12" s="2" t="s">
        <v>39</v>
      </c>
      <c r="AE12" s="2"/>
      <c r="AF12" s="2"/>
      <c r="AG12" s="2"/>
      <c r="AH12" s="2">
        <f t="shared" si="1"/>
        <v>6</v>
      </c>
      <c r="AI12" s="2">
        <f t="shared" si="0"/>
        <v>3</v>
      </c>
      <c r="AJ12" s="2">
        <v>1</v>
      </c>
    </row>
    <row r="13" spans="1:36" ht="20.100000000000001" customHeight="1" x14ac:dyDescent="0.25">
      <c r="A13" s="19">
        <f>'Sep''24'!A13+'Sep''24'!AI13+'Sep''24'!AJ13-'Sep''24'!AH13</f>
        <v>14</v>
      </c>
      <c r="B13" s="40" t="str">
        <f>Jan!B17</f>
        <v>S C Behera</v>
      </c>
      <c r="C13" s="2"/>
      <c r="D13" s="2"/>
      <c r="E13" s="3"/>
      <c r="F13" s="3"/>
      <c r="G13" s="2"/>
      <c r="H13" s="2"/>
      <c r="I13" s="2"/>
      <c r="J13" s="2"/>
      <c r="K13" s="2" t="s">
        <v>40</v>
      </c>
      <c r="L13" s="2"/>
      <c r="M13" s="3"/>
      <c r="N13" s="3" t="s">
        <v>40</v>
      </c>
      <c r="O13" s="2"/>
      <c r="P13" s="2"/>
      <c r="Q13" s="2"/>
      <c r="R13" s="2"/>
      <c r="S13" s="2"/>
      <c r="T13" s="3" t="s">
        <v>40</v>
      </c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3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'Sep''24'!A14+'Sep''24'!AI14+'Sep''24'!AJ14-'Sep''24'!AH14</f>
        <v>64</v>
      </c>
      <c r="B14" s="40" t="str">
        <f>Jan!B20</f>
        <v>M C Tudu</v>
      </c>
      <c r="C14" s="2"/>
      <c r="D14" s="2"/>
      <c r="E14" s="3"/>
      <c r="F14" s="3" t="s">
        <v>39</v>
      </c>
      <c r="G14" s="2"/>
      <c r="H14" s="2"/>
      <c r="I14" s="2"/>
      <c r="J14" s="2"/>
      <c r="K14" s="2"/>
      <c r="L14" s="2"/>
      <c r="M14" s="3"/>
      <c r="N14" s="3"/>
      <c r="O14" s="2"/>
      <c r="P14" s="2"/>
      <c r="Q14" s="2"/>
      <c r="R14" s="2" t="s">
        <v>39</v>
      </c>
      <c r="S14" s="2"/>
      <c r="T14" s="3" t="s">
        <v>39</v>
      </c>
      <c r="U14" s="3"/>
      <c r="V14" s="2"/>
      <c r="W14" s="2"/>
      <c r="X14" s="2"/>
      <c r="Y14" s="2" t="s">
        <v>39</v>
      </c>
      <c r="Z14" s="2" t="s">
        <v>39</v>
      </c>
      <c r="AA14" s="3"/>
      <c r="AB14" s="3"/>
      <c r="AC14" s="2"/>
      <c r="AD14" s="2"/>
      <c r="AE14" s="2" t="s">
        <v>39</v>
      </c>
      <c r="AF14" s="2"/>
      <c r="AG14" s="2"/>
      <c r="AH14" s="2">
        <f t="shared" ref="AH14" si="2">COUNTIF(C14:AG14, "CO")</f>
        <v>0</v>
      </c>
      <c r="AI14" s="2">
        <f t="shared" ref="AI14" si="3">COUNTIF(C14:AG14, "E")</f>
        <v>6</v>
      </c>
      <c r="AJ14" s="2">
        <v>1</v>
      </c>
    </row>
    <row r="15" spans="1:36" ht="20.100000000000001" customHeight="1" x14ac:dyDescent="0.25">
      <c r="A15" s="19">
        <f>'Sep''24'!A15+'Sep''24'!AI15+'Sep''24'!AJ15-'Sep''24'!AH15</f>
        <v>49</v>
      </c>
      <c r="B15" s="40" t="str">
        <f>Jan!B15</f>
        <v>D Pangi</v>
      </c>
      <c r="C15" s="2"/>
      <c r="D15" s="2"/>
      <c r="E15" s="2"/>
      <c r="F15" s="3"/>
      <c r="G15" s="3"/>
      <c r="H15" s="3"/>
      <c r="I15" s="3"/>
      <c r="J15" s="3"/>
      <c r="K15" s="2"/>
      <c r="L15" s="2"/>
      <c r="M15" s="3"/>
      <c r="N15" s="3"/>
      <c r="O15" s="2"/>
      <c r="P15" s="2"/>
      <c r="Q15" s="2"/>
      <c r="R15" s="2"/>
      <c r="S15" s="2"/>
      <c r="T15" s="3" t="s">
        <v>39</v>
      </c>
      <c r="U15" s="3" t="s">
        <v>39</v>
      </c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2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I4:AI5"/>
    <mergeCell ref="AJ4:AJ5"/>
    <mergeCell ref="C16:AH16"/>
    <mergeCell ref="AF21:AF23"/>
    <mergeCell ref="AE1:AH1"/>
    <mergeCell ref="A4:A5"/>
    <mergeCell ref="B4:B5"/>
    <mergeCell ref="AH4:AH5"/>
  </mergeCells>
  <conditionalFormatting sqref="AG7 C8:L8 N8 R8:AG8 D9:AG9 C13:D14 G13:AG14 R7:AE7 C15:AG15 C6:K6 D7:L7 C10:AG12 O6:AG6">
    <cfRule type="containsText" dxfId="125" priority="17" operator="containsText" text="e">
      <formula>NOT(ISERROR(SEARCH("e",C6)))</formula>
    </cfRule>
    <cfRule type="containsText" dxfId="124" priority="18" operator="containsText" text="co">
      <formula>NOT(ISERROR(SEARCH("co",C6)))</formula>
    </cfRule>
  </conditionalFormatting>
  <conditionalFormatting sqref="L6">
    <cfRule type="containsText" dxfId="123" priority="15" operator="containsText" text="e">
      <formula>NOT(ISERROR(SEARCH("e",L6)))</formula>
    </cfRule>
    <cfRule type="containsText" dxfId="122" priority="16" operator="containsText" text="co">
      <formula>NOT(ISERROR(SEARCH("co",L6)))</formula>
    </cfRule>
  </conditionalFormatting>
  <conditionalFormatting sqref="M6:N6">
    <cfRule type="containsText" dxfId="121" priority="13" operator="containsText" text="e">
      <formula>NOT(ISERROR(SEARCH("e",M6)))</formula>
    </cfRule>
    <cfRule type="containsText" dxfId="120" priority="14" operator="containsText" text="co">
      <formula>NOT(ISERROR(SEARCH("co",M6)))</formula>
    </cfRule>
  </conditionalFormatting>
  <conditionalFormatting sqref="M7:Q7">
    <cfRule type="containsText" dxfId="119" priority="11" operator="containsText" text="e">
      <formula>NOT(ISERROR(SEARCH("e",M7)))</formula>
    </cfRule>
    <cfRule type="containsText" dxfId="118" priority="12" operator="containsText" text="co">
      <formula>NOT(ISERROR(SEARCH("co",M7)))</formula>
    </cfRule>
  </conditionalFormatting>
  <conditionalFormatting sqref="M8">
    <cfRule type="containsText" dxfId="117" priority="9" operator="containsText" text="e">
      <formula>NOT(ISERROR(SEARCH("e",M8)))</formula>
    </cfRule>
    <cfRule type="containsText" dxfId="116" priority="10" operator="containsText" text="co">
      <formula>NOT(ISERROR(SEARCH("co",M8)))</formula>
    </cfRule>
  </conditionalFormatting>
  <conditionalFormatting sqref="O8:Q8">
    <cfRule type="containsText" dxfId="115" priority="7" operator="containsText" text="e">
      <formula>NOT(ISERROR(SEARCH("e",O8)))</formula>
    </cfRule>
    <cfRule type="containsText" dxfId="114" priority="8" operator="containsText" text="co">
      <formula>NOT(ISERROR(SEARCH("co",O8)))</formula>
    </cfRule>
  </conditionalFormatting>
  <conditionalFormatting sqref="C9">
    <cfRule type="containsText" dxfId="113" priority="5" operator="containsText" text="e">
      <formula>NOT(ISERROR(SEARCH("e",C9)))</formula>
    </cfRule>
    <cfRule type="containsText" dxfId="112" priority="6" operator="containsText" text="co">
      <formula>NOT(ISERROR(SEARCH("co",C9)))</formula>
    </cfRule>
  </conditionalFormatting>
  <conditionalFormatting sqref="E13:F14">
    <cfRule type="containsText" dxfId="111" priority="3" operator="containsText" text="e">
      <formula>NOT(ISERROR(SEARCH("e",E13)))</formula>
    </cfRule>
    <cfRule type="containsText" dxfId="110" priority="4" operator="containsText" text="co">
      <formula>NOT(ISERROR(SEARCH("co",E13)))</formula>
    </cfRule>
  </conditionalFormatting>
  <conditionalFormatting sqref="C7">
    <cfRule type="containsText" dxfId="109" priority="1" operator="containsText" text="e">
      <formula>NOT(ISERROR(SEARCH("e",C7)))</formula>
    </cfRule>
    <cfRule type="containsText" dxfId="108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15" sqref="A15:XFD15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78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40">
        <v>1</v>
      </c>
      <c r="D4" s="40">
        <v>2</v>
      </c>
      <c r="E4" s="40">
        <v>3</v>
      </c>
      <c r="F4" s="40">
        <v>4</v>
      </c>
      <c r="G4" s="40">
        <v>5</v>
      </c>
      <c r="H4" s="40">
        <v>6</v>
      </c>
      <c r="I4" s="40">
        <v>7</v>
      </c>
      <c r="J4" s="40">
        <v>8</v>
      </c>
      <c r="K4" s="40">
        <v>9</v>
      </c>
      <c r="L4" s="40">
        <v>10</v>
      </c>
      <c r="M4" s="40">
        <v>11</v>
      </c>
      <c r="N4" s="40">
        <v>12</v>
      </c>
      <c r="O4" s="40">
        <v>13</v>
      </c>
      <c r="P4" s="40">
        <v>14</v>
      </c>
      <c r="Q4" s="40">
        <v>15</v>
      </c>
      <c r="R4" s="40">
        <v>16</v>
      </c>
      <c r="S4" s="40">
        <v>17</v>
      </c>
      <c r="T4" s="40">
        <v>18</v>
      </c>
      <c r="U4" s="40">
        <v>19</v>
      </c>
      <c r="V4" s="40">
        <v>20</v>
      </c>
      <c r="W4" s="40">
        <v>21</v>
      </c>
      <c r="X4" s="40">
        <v>22</v>
      </c>
      <c r="Y4" s="40">
        <v>23</v>
      </c>
      <c r="Z4" s="40">
        <v>24</v>
      </c>
      <c r="AA4" s="40">
        <v>25</v>
      </c>
      <c r="AB4" s="40">
        <v>26</v>
      </c>
      <c r="AC4" s="40">
        <v>27</v>
      </c>
      <c r="AD4" s="40">
        <v>28</v>
      </c>
      <c r="AE4" s="40">
        <v>29</v>
      </c>
      <c r="AF4" s="40">
        <v>30</v>
      </c>
      <c r="AG4" s="40"/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40" t="s">
        <v>60</v>
      </c>
      <c r="D5" s="40" t="s">
        <v>54</v>
      </c>
      <c r="E5" s="40" t="s">
        <v>55</v>
      </c>
      <c r="F5" s="40" t="s">
        <v>56</v>
      </c>
      <c r="G5" s="40" t="s">
        <v>57</v>
      </c>
      <c r="H5" s="40" t="s">
        <v>58</v>
      </c>
      <c r="I5" s="40" t="s">
        <v>59</v>
      </c>
      <c r="J5" s="40" t="s">
        <v>60</v>
      </c>
      <c r="K5" s="40" t="s">
        <v>54</v>
      </c>
      <c r="L5" s="40" t="s">
        <v>55</v>
      </c>
      <c r="M5" s="40" t="s">
        <v>56</v>
      </c>
      <c r="N5" s="40" t="s">
        <v>57</v>
      </c>
      <c r="O5" s="40" t="s">
        <v>58</v>
      </c>
      <c r="P5" s="40" t="s">
        <v>59</v>
      </c>
      <c r="Q5" s="40" t="s">
        <v>60</v>
      </c>
      <c r="R5" s="40" t="s">
        <v>54</v>
      </c>
      <c r="S5" s="40" t="s">
        <v>55</v>
      </c>
      <c r="T5" s="40" t="s">
        <v>56</v>
      </c>
      <c r="U5" s="40" t="s">
        <v>57</v>
      </c>
      <c r="V5" s="40" t="s">
        <v>58</v>
      </c>
      <c r="W5" s="40" t="s">
        <v>59</v>
      </c>
      <c r="X5" s="40" t="s">
        <v>60</v>
      </c>
      <c r="Y5" s="40" t="s">
        <v>54</v>
      </c>
      <c r="Z5" s="40" t="s">
        <v>55</v>
      </c>
      <c r="AA5" s="40" t="s">
        <v>56</v>
      </c>
      <c r="AB5" s="40" t="s">
        <v>57</v>
      </c>
      <c r="AC5" s="40" t="s">
        <v>58</v>
      </c>
      <c r="AD5" s="40" t="s">
        <v>59</v>
      </c>
      <c r="AE5" s="40" t="s">
        <v>60</v>
      </c>
      <c r="AF5" s="40" t="s">
        <v>54</v>
      </c>
      <c r="AG5" s="40"/>
      <c r="AH5" s="56"/>
      <c r="AI5" s="56"/>
      <c r="AJ5" s="56"/>
    </row>
    <row r="6" spans="1:36" ht="20.100000000000001" customHeight="1" x14ac:dyDescent="0.25">
      <c r="A6" s="19">
        <f>'oct''24'!A6+'oct''24'!AI6+'oct''24'!AJ6-'oct''24'!AH6</f>
        <v>36</v>
      </c>
      <c r="B6" s="40" t="str">
        <f>Jan!B21</f>
        <v>S R Mahto</v>
      </c>
      <c r="C6" s="2"/>
      <c r="D6" s="2"/>
      <c r="E6" s="2"/>
      <c r="F6" s="2"/>
      <c r="G6" s="2" t="s">
        <v>39</v>
      </c>
      <c r="H6" s="2" t="s">
        <v>39</v>
      </c>
      <c r="I6" s="3"/>
      <c r="J6" s="3" t="s">
        <v>39</v>
      </c>
      <c r="K6" s="3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/>
      <c r="AD6" s="2"/>
      <c r="AE6" s="2" t="s">
        <v>39</v>
      </c>
      <c r="AF6" s="2" t="s">
        <v>39</v>
      </c>
      <c r="AG6" s="2"/>
      <c r="AH6" s="2">
        <f>COUNTIF(C6:AG6, "CO")</f>
        <v>0</v>
      </c>
      <c r="AI6" s="2">
        <f t="shared" ref="AI6:AI15" si="0">COUNTIF(C6:AG6, "E")</f>
        <v>5</v>
      </c>
      <c r="AJ6" s="2">
        <v>1</v>
      </c>
    </row>
    <row r="7" spans="1:36" ht="20.100000000000001" customHeight="1" x14ac:dyDescent="0.25">
      <c r="A7" s="19">
        <f>'oct''24'!A7+'oct''24'!AI7+'oct''24'!AJ7-'oct''24'!AH7</f>
        <v>17</v>
      </c>
      <c r="B7" s="40" t="str">
        <f>Jan!B7</f>
        <v>GN Madhei</v>
      </c>
      <c r="C7" s="2"/>
      <c r="D7" s="2"/>
      <c r="E7" s="2"/>
      <c r="F7" s="2"/>
      <c r="G7" s="2"/>
      <c r="H7" s="2"/>
      <c r="I7" s="2" t="s">
        <v>39</v>
      </c>
      <c r="J7" s="2"/>
      <c r="K7" s="2"/>
      <c r="L7" s="2"/>
      <c r="M7" s="3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G7" s="2"/>
      <c r="AH7" s="2">
        <f>COUNTIF(C7:AG7, "CO")</f>
        <v>0</v>
      </c>
      <c r="AI7" s="2">
        <f t="shared" si="0"/>
        <v>1</v>
      </c>
      <c r="AJ7" s="2">
        <v>1</v>
      </c>
    </row>
    <row r="8" spans="1:36" ht="20.100000000000001" customHeight="1" x14ac:dyDescent="0.25">
      <c r="A8" s="19">
        <f>'oct''24'!A8+'oct''24'!AI8+'oct''24'!AJ8-'oct''24'!AH8</f>
        <v>62</v>
      </c>
      <c r="B8" s="40" t="str">
        <f>Jan!B18</f>
        <v>S K Sahoo</v>
      </c>
      <c r="C8" s="2"/>
      <c r="D8" s="2"/>
      <c r="E8" s="2" t="s">
        <v>39</v>
      </c>
      <c r="F8" s="3"/>
      <c r="G8" s="3"/>
      <c r="H8" s="2"/>
      <c r="I8" s="2"/>
      <c r="J8" s="2"/>
      <c r="K8" s="2"/>
      <c r="L8" s="2"/>
      <c r="M8" s="3"/>
      <c r="N8" s="3"/>
      <c r="O8" s="3"/>
      <c r="P8" s="3"/>
      <c r="Q8" s="3"/>
      <c r="R8" s="2"/>
      <c r="S8" s="2"/>
      <c r="T8" s="3"/>
      <c r="U8" s="3"/>
      <c r="V8" s="2"/>
      <c r="W8" s="2"/>
      <c r="X8" s="2"/>
      <c r="Y8" s="2"/>
      <c r="Z8" s="2"/>
      <c r="AA8" s="3"/>
      <c r="AB8" s="3"/>
      <c r="AC8" s="2"/>
      <c r="AD8" s="2"/>
      <c r="AE8" s="2"/>
      <c r="AF8" s="2"/>
      <c r="AG8" s="2"/>
      <c r="AH8" s="2">
        <f>COUNTIF(C8:AG8, "CO")</f>
        <v>0</v>
      </c>
      <c r="AI8" s="2">
        <f t="shared" si="0"/>
        <v>1</v>
      </c>
      <c r="AJ8" s="2">
        <v>1</v>
      </c>
    </row>
    <row r="9" spans="1:36" ht="20.100000000000001" customHeight="1" x14ac:dyDescent="0.25">
      <c r="A9" s="19">
        <f>'oct''24'!A9+'oct''24'!AI9+'oct''24'!AJ9-'oct''24'!AH9</f>
        <v>40</v>
      </c>
      <c r="B9" s="40" t="str">
        <f>Jan!B10</f>
        <v>SK Maharana</v>
      </c>
      <c r="C9" s="3"/>
      <c r="D9" s="2"/>
      <c r="E9" s="2"/>
      <c r="F9" s="2" t="s">
        <v>39</v>
      </c>
      <c r="G9" s="2"/>
      <c r="H9" s="2" t="s">
        <v>39</v>
      </c>
      <c r="I9" s="2"/>
      <c r="J9" s="2"/>
      <c r="K9" s="2"/>
      <c r="L9" s="2"/>
      <c r="M9" s="3"/>
      <c r="N9" s="3" t="s">
        <v>39</v>
      </c>
      <c r="O9" s="2"/>
      <c r="P9" s="2"/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0</v>
      </c>
      <c r="AI9" s="2">
        <f t="shared" si="0"/>
        <v>3</v>
      </c>
      <c r="AJ9" s="2">
        <v>1</v>
      </c>
    </row>
    <row r="10" spans="1:36" ht="20.100000000000001" customHeight="1" x14ac:dyDescent="0.25">
      <c r="A10" s="19">
        <f>'oct''24'!A10+'oct''24'!AI10+'oct''24'!AJ10-'oct''24'!AH10</f>
        <v>26</v>
      </c>
      <c r="B10" s="40" t="str">
        <f>Jan!B19</f>
        <v>A K Dalai</v>
      </c>
      <c r="C10" s="2"/>
      <c r="D10" s="2"/>
      <c r="E10" s="2"/>
      <c r="F10" s="3"/>
      <c r="G10" s="3"/>
      <c r="H10" s="2"/>
      <c r="I10" s="2"/>
      <c r="J10" s="2"/>
      <c r="K10" s="2"/>
      <c r="L10" s="2" t="s">
        <v>39</v>
      </c>
      <c r="M10" s="3" t="s">
        <v>39</v>
      </c>
      <c r="N10" s="3" t="s">
        <v>39</v>
      </c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 t="s">
        <v>39</v>
      </c>
      <c r="AB10" s="3"/>
      <c r="AC10" s="2"/>
      <c r="AD10" s="2"/>
      <c r="AE10" s="2"/>
      <c r="AF10" s="2" t="s">
        <v>39</v>
      </c>
      <c r="AG10" s="2"/>
      <c r="AH10" s="2">
        <f t="shared" ref="AH10:AH15" si="1">COUNTIF(C10:AG10, "CO")</f>
        <v>0</v>
      </c>
      <c r="AI10" s="2">
        <f t="shared" si="0"/>
        <v>5</v>
      </c>
      <c r="AJ10" s="2">
        <v>1</v>
      </c>
    </row>
    <row r="11" spans="1:36" ht="20.100000000000001" customHeight="1" x14ac:dyDescent="0.25">
      <c r="A11" s="19">
        <f>'oct''24'!A11+'oct''24'!AI11+'oct''24'!AJ11-'oct''24'!AH11</f>
        <v>55</v>
      </c>
      <c r="B11" s="40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 t="s">
        <v>40</v>
      </c>
      <c r="N11" s="2"/>
      <c r="O11" s="2"/>
      <c r="P11" s="2"/>
      <c r="Q11" s="2"/>
      <c r="R11" s="2" t="s">
        <v>40</v>
      </c>
      <c r="S11" s="2"/>
      <c r="T11" s="3" t="s">
        <v>40</v>
      </c>
      <c r="U11" s="3" t="s">
        <v>40</v>
      </c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si="1"/>
        <v>4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'oct''24'!A12+'oct''24'!AI12+'oct''24'!AJ12-'oct''24'!AH12</f>
        <v>55</v>
      </c>
      <c r="B12" s="40" t="str">
        <f>Jan!B16</f>
        <v>M Bishi</v>
      </c>
      <c r="C12" s="2"/>
      <c r="D12" s="2"/>
      <c r="E12" s="2"/>
      <c r="F12" s="2"/>
      <c r="G12" s="2"/>
      <c r="H12" s="2"/>
      <c r="I12" s="2"/>
      <c r="J12" s="2"/>
      <c r="K12" s="2"/>
      <c r="L12" s="2" t="s">
        <v>39</v>
      </c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 t="s">
        <v>39</v>
      </c>
      <c r="AA12" s="3"/>
      <c r="AB12" s="3"/>
      <c r="AC12" s="2"/>
      <c r="AD12" s="2"/>
      <c r="AE12" s="2" t="s">
        <v>40</v>
      </c>
      <c r="AF12" s="2" t="s">
        <v>40</v>
      </c>
      <c r="AG12" s="2"/>
      <c r="AH12" s="2">
        <f t="shared" si="1"/>
        <v>2</v>
      </c>
      <c r="AI12" s="2">
        <f t="shared" si="0"/>
        <v>2</v>
      </c>
      <c r="AJ12" s="2">
        <v>1</v>
      </c>
    </row>
    <row r="13" spans="1:36" ht="20.100000000000001" customHeight="1" x14ac:dyDescent="0.25">
      <c r="A13" s="19">
        <f>'oct''24'!A13+'oct''24'!AI13+'oct''24'!AJ13-'oct''24'!AH13</f>
        <v>12</v>
      </c>
      <c r="B13" s="40" t="str">
        <f>Jan!B17</f>
        <v>S C Behera</v>
      </c>
      <c r="C13" s="2"/>
      <c r="D13" s="2"/>
      <c r="E13" s="3"/>
      <c r="F13" s="3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 t="s">
        <v>40</v>
      </c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1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'oct''24'!A14+'oct''24'!AI14+'oct''24'!AJ14-'oct''24'!AH14</f>
        <v>71</v>
      </c>
      <c r="B14" s="40" t="str">
        <f>Jan!B20</f>
        <v>M C Tudu</v>
      </c>
      <c r="C14" s="2"/>
      <c r="D14" s="2"/>
      <c r="E14" s="3"/>
      <c r="F14" s="3" t="s">
        <v>40</v>
      </c>
      <c r="G14" s="3" t="s">
        <v>40</v>
      </c>
      <c r="H14" s="3" t="s">
        <v>40</v>
      </c>
      <c r="I14" s="3" t="s">
        <v>40</v>
      </c>
      <c r="J14" s="2"/>
      <c r="K14" s="2"/>
      <c r="L14" s="2"/>
      <c r="M14" s="3" t="s">
        <v>40</v>
      </c>
      <c r="N14" s="3" t="s">
        <v>40</v>
      </c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 t="s">
        <v>39</v>
      </c>
      <c r="AA14" s="3"/>
      <c r="AB14" s="3"/>
      <c r="AC14" s="2"/>
      <c r="AD14" s="2"/>
      <c r="AE14" s="2"/>
      <c r="AF14" s="2"/>
      <c r="AG14" s="2"/>
      <c r="AH14" s="2">
        <f t="shared" ref="AH14" si="2">COUNTIF(C14:AG14, "CO")</f>
        <v>6</v>
      </c>
      <c r="AI14" s="2">
        <f t="shared" ref="AI14" si="3">COUNTIF(C14:AG14, "E")</f>
        <v>1</v>
      </c>
      <c r="AJ14" s="2">
        <v>1</v>
      </c>
    </row>
    <row r="15" spans="1:36" ht="20.100000000000001" customHeight="1" x14ac:dyDescent="0.25">
      <c r="A15" s="19">
        <f>'oct''24'!A15+'oct''24'!AI15+'oct''24'!AJ15-'oct''24'!AH15</f>
        <v>52</v>
      </c>
      <c r="B15" s="40" t="str">
        <f>Jan!B15</f>
        <v>D Pangi</v>
      </c>
      <c r="C15" s="2"/>
      <c r="D15" s="2"/>
      <c r="E15" s="2"/>
      <c r="F15" s="3"/>
      <c r="G15" s="3"/>
      <c r="H15" s="3"/>
      <c r="I15" s="3"/>
      <c r="J15" s="3"/>
      <c r="K15" s="2" t="s">
        <v>40</v>
      </c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1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I4:AI5"/>
    <mergeCell ref="AJ4:AJ5"/>
    <mergeCell ref="C16:AH16"/>
    <mergeCell ref="AF21:AF23"/>
    <mergeCell ref="AE1:AH1"/>
    <mergeCell ref="A4:A5"/>
    <mergeCell ref="B4:B5"/>
    <mergeCell ref="AH4:AH5"/>
  </mergeCells>
  <conditionalFormatting sqref="AG7 O6:AG6 C8:L8 N8 R8:AG8 D9:AG9 C13:D14 G13:AG13 R7:AE7 C10:AG12 C15:AG15 C6:K6 D7:L7 J14:AG14">
    <cfRule type="containsText" dxfId="107" priority="17" operator="containsText" text="e">
      <formula>NOT(ISERROR(SEARCH("e",C6)))</formula>
    </cfRule>
    <cfRule type="containsText" dxfId="106" priority="18" operator="containsText" text="co">
      <formula>NOT(ISERROR(SEARCH("co",C6)))</formula>
    </cfRule>
  </conditionalFormatting>
  <conditionalFormatting sqref="L6">
    <cfRule type="containsText" dxfId="105" priority="15" operator="containsText" text="e">
      <formula>NOT(ISERROR(SEARCH("e",L6)))</formula>
    </cfRule>
    <cfRule type="containsText" dxfId="104" priority="16" operator="containsText" text="co">
      <formula>NOT(ISERROR(SEARCH("co",L6)))</formula>
    </cfRule>
  </conditionalFormatting>
  <conditionalFormatting sqref="M6:N6">
    <cfRule type="containsText" dxfId="103" priority="13" operator="containsText" text="e">
      <formula>NOT(ISERROR(SEARCH("e",M6)))</formula>
    </cfRule>
    <cfRule type="containsText" dxfId="102" priority="14" operator="containsText" text="co">
      <formula>NOT(ISERROR(SEARCH("co",M6)))</formula>
    </cfRule>
  </conditionalFormatting>
  <conditionalFormatting sqref="M7:Q7">
    <cfRule type="containsText" dxfId="101" priority="11" operator="containsText" text="e">
      <formula>NOT(ISERROR(SEARCH("e",M7)))</formula>
    </cfRule>
    <cfRule type="containsText" dxfId="100" priority="12" operator="containsText" text="co">
      <formula>NOT(ISERROR(SEARCH("co",M7)))</formula>
    </cfRule>
  </conditionalFormatting>
  <conditionalFormatting sqref="M8">
    <cfRule type="containsText" dxfId="99" priority="9" operator="containsText" text="e">
      <formula>NOT(ISERROR(SEARCH("e",M8)))</formula>
    </cfRule>
    <cfRule type="containsText" dxfId="98" priority="10" operator="containsText" text="co">
      <formula>NOT(ISERROR(SEARCH("co",M8)))</formula>
    </cfRule>
  </conditionalFormatting>
  <conditionalFormatting sqref="O8:Q8">
    <cfRule type="containsText" dxfId="97" priority="7" operator="containsText" text="e">
      <formula>NOT(ISERROR(SEARCH("e",O8)))</formula>
    </cfRule>
    <cfRule type="containsText" dxfId="96" priority="8" operator="containsText" text="co">
      <formula>NOT(ISERROR(SEARCH("co",O8)))</formula>
    </cfRule>
  </conditionalFormatting>
  <conditionalFormatting sqref="C9">
    <cfRule type="containsText" dxfId="95" priority="5" operator="containsText" text="e">
      <formula>NOT(ISERROR(SEARCH("e",C9)))</formula>
    </cfRule>
    <cfRule type="containsText" dxfId="94" priority="6" operator="containsText" text="co">
      <formula>NOT(ISERROR(SEARCH("co",C9)))</formula>
    </cfRule>
  </conditionalFormatting>
  <conditionalFormatting sqref="E13:F14 G14:I14">
    <cfRule type="containsText" dxfId="93" priority="3" operator="containsText" text="e">
      <formula>NOT(ISERROR(SEARCH("e",E13)))</formula>
    </cfRule>
    <cfRule type="containsText" dxfId="92" priority="4" operator="containsText" text="co">
      <formula>NOT(ISERROR(SEARCH("co",E13)))</formula>
    </cfRule>
  </conditionalFormatting>
  <conditionalFormatting sqref="C7">
    <cfRule type="containsText" dxfId="91" priority="1" operator="containsText" text="e">
      <formula>NOT(ISERROR(SEARCH("e",C7)))</formula>
    </cfRule>
    <cfRule type="containsText" dxfId="90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G13" sqref="AG13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79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40">
        <v>1</v>
      </c>
      <c r="D4" s="40">
        <v>2</v>
      </c>
      <c r="E4" s="40">
        <v>3</v>
      </c>
      <c r="F4" s="40">
        <v>4</v>
      </c>
      <c r="G4" s="40">
        <v>5</v>
      </c>
      <c r="H4" s="40">
        <v>6</v>
      </c>
      <c r="I4" s="40">
        <v>7</v>
      </c>
      <c r="J4" s="40">
        <v>8</v>
      </c>
      <c r="K4" s="40">
        <v>9</v>
      </c>
      <c r="L4" s="40">
        <v>10</v>
      </c>
      <c r="M4" s="40">
        <v>11</v>
      </c>
      <c r="N4" s="40">
        <v>12</v>
      </c>
      <c r="O4" s="40">
        <v>13</v>
      </c>
      <c r="P4" s="40">
        <v>14</v>
      </c>
      <c r="Q4" s="40">
        <v>15</v>
      </c>
      <c r="R4" s="40">
        <v>16</v>
      </c>
      <c r="S4" s="40">
        <v>17</v>
      </c>
      <c r="T4" s="40">
        <v>18</v>
      </c>
      <c r="U4" s="40">
        <v>19</v>
      </c>
      <c r="V4" s="40">
        <v>20</v>
      </c>
      <c r="W4" s="40">
        <v>21</v>
      </c>
      <c r="X4" s="40">
        <v>22</v>
      </c>
      <c r="Y4" s="40">
        <v>23</v>
      </c>
      <c r="Z4" s="40">
        <v>24</v>
      </c>
      <c r="AA4" s="40">
        <v>25</v>
      </c>
      <c r="AB4" s="40">
        <v>26</v>
      </c>
      <c r="AC4" s="40">
        <v>27</v>
      </c>
      <c r="AD4" s="40">
        <v>28</v>
      </c>
      <c r="AE4" s="40">
        <v>29</v>
      </c>
      <c r="AF4" s="40">
        <v>30</v>
      </c>
      <c r="AG4" s="40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40" t="s">
        <v>55</v>
      </c>
      <c r="D5" s="40" t="s">
        <v>56</v>
      </c>
      <c r="E5" s="40" t="s">
        <v>57</v>
      </c>
      <c r="F5" s="40" t="s">
        <v>58</v>
      </c>
      <c r="G5" s="40" t="s">
        <v>59</v>
      </c>
      <c r="H5" s="40" t="s">
        <v>60</v>
      </c>
      <c r="I5" s="40" t="s">
        <v>54</v>
      </c>
      <c r="J5" s="40" t="s">
        <v>55</v>
      </c>
      <c r="K5" s="40" t="s">
        <v>56</v>
      </c>
      <c r="L5" s="40" t="s">
        <v>57</v>
      </c>
      <c r="M5" s="40" t="s">
        <v>58</v>
      </c>
      <c r="N5" s="40" t="s">
        <v>59</v>
      </c>
      <c r="O5" s="40" t="s">
        <v>60</v>
      </c>
      <c r="P5" s="40" t="s">
        <v>54</v>
      </c>
      <c r="Q5" s="40" t="s">
        <v>55</v>
      </c>
      <c r="R5" s="40" t="s">
        <v>56</v>
      </c>
      <c r="S5" s="40" t="s">
        <v>57</v>
      </c>
      <c r="T5" s="40" t="s">
        <v>58</v>
      </c>
      <c r="U5" s="40" t="s">
        <v>59</v>
      </c>
      <c r="V5" s="40" t="s">
        <v>60</v>
      </c>
      <c r="W5" s="40" t="s">
        <v>54</v>
      </c>
      <c r="X5" s="40" t="s">
        <v>55</v>
      </c>
      <c r="Y5" s="40" t="s">
        <v>56</v>
      </c>
      <c r="Z5" s="40" t="s">
        <v>57</v>
      </c>
      <c r="AA5" s="40" t="s">
        <v>58</v>
      </c>
      <c r="AB5" s="40" t="s">
        <v>59</v>
      </c>
      <c r="AC5" s="40" t="s">
        <v>60</v>
      </c>
      <c r="AD5" s="40" t="s">
        <v>54</v>
      </c>
      <c r="AE5" s="40" t="s">
        <v>55</v>
      </c>
      <c r="AF5" s="40" t="s">
        <v>56</v>
      </c>
      <c r="AG5" s="40" t="s">
        <v>57</v>
      </c>
      <c r="AH5" s="56"/>
      <c r="AI5" s="56"/>
      <c r="AJ5" s="56"/>
    </row>
    <row r="6" spans="1:36" ht="20.100000000000001" customHeight="1" x14ac:dyDescent="0.25">
      <c r="A6" s="19">
        <f>'nov''24'!A6+'nov''24'!AI6+'nov''24'!AJ6-'nov''24'!AH6</f>
        <v>42</v>
      </c>
      <c r="B6" s="40" t="str">
        <f>Jan!B21</f>
        <v>S R Mahto</v>
      </c>
      <c r="C6" s="2"/>
      <c r="D6" s="2"/>
      <c r="E6" s="2"/>
      <c r="F6" s="2" t="s">
        <v>39</v>
      </c>
      <c r="G6" s="2" t="s">
        <v>39</v>
      </c>
      <c r="H6" s="2" t="s">
        <v>39</v>
      </c>
      <c r="I6" s="3"/>
      <c r="J6" s="3"/>
      <c r="K6" s="3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/>
      <c r="AD6" s="2"/>
      <c r="AE6" s="2"/>
      <c r="AF6" s="2"/>
      <c r="AG6" s="2"/>
      <c r="AH6" s="2">
        <f>COUNTIF(C6:AG6, "CO")</f>
        <v>0</v>
      </c>
      <c r="AI6" s="2">
        <f t="shared" ref="AI6:AI15" si="0">COUNTIF(C6:AG6, "E")</f>
        <v>3</v>
      </c>
      <c r="AJ6" s="2">
        <v>1</v>
      </c>
    </row>
    <row r="7" spans="1:36" ht="20.100000000000001" customHeight="1" x14ac:dyDescent="0.25">
      <c r="A7" s="19">
        <f>'nov''24'!A7+'nov''24'!AI7+'nov''24'!AJ7-'nov''24'!AH7</f>
        <v>19</v>
      </c>
      <c r="B7" s="40" t="str">
        <f>Jan!B7</f>
        <v>GN Madhei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G7" s="2"/>
      <c r="AH7" s="2">
        <f>COUNTIF(C7:AG7, "CO")</f>
        <v>0</v>
      </c>
      <c r="AI7" s="2">
        <f t="shared" si="0"/>
        <v>0</v>
      </c>
      <c r="AJ7" s="2">
        <v>1</v>
      </c>
    </row>
    <row r="8" spans="1:36" ht="20.100000000000001" customHeight="1" x14ac:dyDescent="0.25">
      <c r="A8" s="19">
        <f>'nov''24'!A8+'nov''24'!AI8+'nov''24'!AJ8-'nov''24'!AH8</f>
        <v>64</v>
      </c>
      <c r="B8" s="40" t="str">
        <f>Jan!B18</f>
        <v>S K Sahoo</v>
      </c>
      <c r="C8" s="2"/>
      <c r="D8" s="2"/>
      <c r="E8" s="2"/>
      <c r="F8" s="3"/>
      <c r="G8" s="3"/>
      <c r="H8" s="2"/>
      <c r="I8" s="2"/>
      <c r="J8" s="2"/>
      <c r="K8" s="2"/>
      <c r="L8" s="2"/>
      <c r="M8" s="3" t="s">
        <v>39</v>
      </c>
      <c r="N8" s="3" t="s">
        <v>39</v>
      </c>
      <c r="O8" s="3"/>
      <c r="P8" s="3" t="s">
        <v>39</v>
      </c>
      <c r="Q8" s="3" t="s">
        <v>39</v>
      </c>
      <c r="R8" s="2"/>
      <c r="S8" s="2" t="s">
        <v>40</v>
      </c>
      <c r="T8" s="3" t="s">
        <v>40</v>
      </c>
      <c r="U8" s="3"/>
      <c r="V8" s="2"/>
      <c r="W8" s="2"/>
      <c r="X8" s="2"/>
      <c r="Y8" s="2"/>
      <c r="Z8" s="2"/>
      <c r="AA8" s="3"/>
      <c r="AB8" s="3"/>
      <c r="AC8" s="2"/>
      <c r="AD8" s="2"/>
      <c r="AE8" s="2"/>
      <c r="AF8" s="2"/>
      <c r="AG8" s="2"/>
      <c r="AH8" s="2">
        <f>COUNTIF(C8:AG8, "CO")</f>
        <v>2</v>
      </c>
      <c r="AI8" s="2">
        <f t="shared" si="0"/>
        <v>4</v>
      </c>
      <c r="AJ8" s="2">
        <v>1</v>
      </c>
    </row>
    <row r="9" spans="1:36" ht="20.100000000000001" customHeight="1" x14ac:dyDescent="0.25">
      <c r="A9" s="19">
        <f>'nov''24'!A9+'nov''24'!AI9+'nov''24'!AJ9-'nov''24'!AH9</f>
        <v>44</v>
      </c>
      <c r="B9" s="40" t="str">
        <f>Jan!B10</f>
        <v>SK Maharana</v>
      </c>
      <c r="C9" s="3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2"/>
      <c r="P9" s="2"/>
      <c r="Q9" s="2"/>
      <c r="R9" s="2" t="s">
        <v>39</v>
      </c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0</v>
      </c>
      <c r="AI9" s="2">
        <f t="shared" si="0"/>
        <v>1</v>
      </c>
      <c r="AJ9" s="2">
        <v>1</v>
      </c>
    </row>
    <row r="10" spans="1:36" ht="20.100000000000001" customHeight="1" x14ac:dyDescent="0.25">
      <c r="A10" s="19">
        <f>'nov''24'!A10+'nov''24'!AI10+'nov''24'!AJ10-'nov''24'!AH10</f>
        <v>32</v>
      </c>
      <c r="B10" s="40" t="str">
        <f>Jan!B19</f>
        <v>A K Dalai</v>
      </c>
      <c r="C10" s="2" t="s">
        <v>39</v>
      </c>
      <c r="D10" s="2" t="s">
        <v>39</v>
      </c>
      <c r="E10" s="2"/>
      <c r="F10" s="3"/>
      <c r="G10" s="3"/>
      <c r="H10" s="2"/>
      <c r="I10" s="2"/>
      <c r="J10" s="2"/>
      <c r="K10" s="2"/>
      <c r="L10" s="2"/>
      <c r="M10" s="3"/>
      <c r="N10" s="3" t="s">
        <v>40</v>
      </c>
      <c r="O10" s="2" t="s">
        <v>40</v>
      </c>
      <c r="P10" s="2" t="s">
        <v>40</v>
      </c>
      <c r="Q10" s="2"/>
      <c r="R10" s="2"/>
      <c r="S10" s="2"/>
      <c r="T10" s="3" t="s">
        <v>40</v>
      </c>
      <c r="U10" s="3"/>
      <c r="V10" s="2"/>
      <c r="W10" s="2" t="s">
        <v>39</v>
      </c>
      <c r="X10" s="2"/>
      <c r="Y10" s="2"/>
      <c r="Z10" s="2"/>
      <c r="AA10" s="3"/>
      <c r="AB10" s="3" t="s">
        <v>39</v>
      </c>
      <c r="AC10" s="3" t="s">
        <v>39</v>
      </c>
      <c r="AD10" s="3" t="s">
        <v>39</v>
      </c>
      <c r="AE10" s="3" t="s">
        <v>39</v>
      </c>
      <c r="AF10" s="3" t="s">
        <v>39</v>
      </c>
      <c r="AG10" s="3" t="s">
        <v>39</v>
      </c>
      <c r="AH10" s="2">
        <f t="shared" ref="AH10:AH15" si="1">COUNTIF(C10:AG10, "CO")</f>
        <v>4</v>
      </c>
      <c r="AI10" s="2">
        <f t="shared" si="0"/>
        <v>9</v>
      </c>
      <c r="AJ10" s="2">
        <v>1</v>
      </c>
    </row>
    <row r="11" spans="1:36" ht="20.100000000000001" customHeight="1" x14ac:dyDescent="0.25">
      <c r="A11" s="19">
        <f>'nov''24'!A11+'nov''24'!AI11+'nov''24'!AJ11-'nov''24'!AH11</f>
        <v>52</v>
      </c>
      <c r="B11" s="40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si="1"/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19">
        <f>'nov''24'!A12+'nov''24'!AI12+'nov''24'!AJ12-'nov''24'!AH12</f>
        <v>56</v>
      </c>
      <c r="B12" s="40" t="str">
        <f>Jan!B16</f>
        <v>M Bishi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 t="s">
        <v>39</v>
      </c>
      <c r="P12" s="2"/>
      <c r="Q12" s="2"/>
      <c r="R12" s="2"/>
      <c r="S12" s="2"/>
      <c r="T12" s="3"/>
      <c r="U12" s="3"/>
      <c r="V12" s="2"/>
      <c r="W12" s="2"/>
      <c r="X12" s="2" t="s">
        <v>40</v>
      </c>
      <c r="Y12" s="2" t="s">
        <v>40</v>
      </c>
      <c r="Z12" s="2"/>
      <c r="AA12" s="3"/>
      <c r="AB12" s="3" t="s">
        <v>40</v>
      </c>
      <c r="AC12" s="3" t="s">
        <v>40</v>
      </c>
      <c r="AD12" s="3"/>
      <c r="AE12" s="3" t="s">
        <v>40</v>
      </c>
      <c r="AF12" s="2"/>
      <c r="AG12" s="2" t="s">
        <v>39</v>
      </c>
      <c r="AH12" s="2">
        <f t="shared" si="1"/>
        <v>5</v>
      </c>
      <c r="AI12" s="2">
        <f t="shared" si="0"/>
        <v>2</v>
      </c>
      <c r="AJ12" s="2">
        <v>1</v>
      </c>
    </row>
    <row r="13" spans="1:36" ht="20.100000000000001" customHeight="1" x14ac:dyDescent="0.25">
      <c r="A13" s="19">
        <f>'nov''24'!A13+'nov''24'!AI13+'nov''24'!AJ13-'nov''24'!AH13</f>
        <v>12</v>
      </c>
      <c r="B13" s="40" t="str">
        <f>Jan!B17</f>
        <v>S C Behera</v>
      </c>
      <c r="C13" s="2"/>
      <c r="D13" s="2"/>
      <c r="E13" s="3" t="s">
        <v>40</v>
      </c>
      <c r="F13" s="3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 t="s">
        <v>40</v>
      </c>
      <c r="AH13" s="2">
        <f t="shared" si="1"/>
        <v>2</v>
      </c>
      <c r="AI13" s="2">
        <f t="shared" si="0"/>
        <v>0</v>
      </c>
      <c r="AJ13" s="2">
        <v>1</v>
      </c>
    </row>
    <row r="14" spans="1:36" ht="20.100000000000001" customHeight="1" x14ac:dyDescent="0.25">
      <c r="A14" s="19">
        <f>'nov''24'!A14+'nov''24'!AI14+'nov''24'!AJ14-'nov''24'!AH14</f>
        <v>67</v>
      </c>
      <c r="B14" s="40" t="str">
        <f>Jan!B20</f>
        <v>M C Tudu</v>
      </c>
      <c r="C14" s="2" t="s">
        <v>39</v>
      </c>
      <c r="D14" s="2"/>
      <c r="E14" s="3" t="s">
        <v>39</v>
      </c>
      <c r="F14" s="3"/>
      <c r="G14" s="2"/>
      <c r="H14" s="2"/>
      <c r="I14" s="2"/>
      <c r="J14" s="2"/>
      <c r="K14" s="2"/>
      <c r="L14" s="2"/>
      <c r="M14" s="3"/>
      <c r="N14" s="3" t="s">
        <v>39</v>
      </c>
      <c r="O14" s="2"/>
      <c r="P14" s="2"/>
      <c r="Q14" s="2"/>
      <c r="R14" s="2"/>
      <c r="S14" s="2"/>
      <c r="T14" s="3" t="s">
        <v>39</v>
      </c>
      <c r="U14" s="3"/>
      <c r="V14" s="2"/>
      <c r="W14" s="2"/>
      <c r="X14" s="2"/>
      <c r="Y14" s="2"/>
      <c r="Z14" s="2" t="s">
        <v>39</v>
      </c>
      <c r="AA14" s="3"/>
      <c r="AB14" s="3"/>
      <c r="AC14" s="2"/>
      <c r="AD14" s="2"/>
      <c r="AE14" s="2" t="s">
        <v>39</v>
      </c>
      <c r="AF14" s="2"/>
      <c r="AG14" s="2"/>
      <c r="AH14" s="2">
        <f t="shared" ref="AH14" si="2">COUNTIF(C14:AG14, "CO")</f>
        <v>0</v>
      </c>
      <c r="AI14" s="2">
        <f t="shared" ref="AI14" si="3">COUNTIF(C14:AG14, "E")</f>
        <v>6</v>
      </c>
      <c r="AJ14" s="2">
        <v>1</v>
      </c>
    </row>
    <row r="15" spans="1:36" ht="20.100000000000001" customHeight="1" x14ac:dyDescent="0.25">
      <c r="A15" s="19">
        <f>'nov''24'!A15+'nov''24'!AI15+'nov''24'!AJ15-'nov''24'!AH15</f>
        <v>52</v>
      </c>
      <c r="B15" s="40" t="str">
        <f>Jan!B15</f>
        <v>D Pangi</v>
      </c>
      <c r="C15" s="2"/>
      <c r="D15" s="2"/>
      <c r="E15" s="2"/>
      <c r="F15" s="3"/>
      <c r="G15" s="3" t="s">
        <v>40</v>
      </c>
      <c r="H15" s="3"/>
      <c r="I15" s="3"/>
      <c r="J15" s="3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1</v>
      </c>
      <c r="AI15" s="2">
        <f t="shared" si="0"/>
        <v>0</v>
      </c>
      <c r="AJ15" s="2">
        <v>1</v>
      </c>
    </row>
    <row r="16" spans="1:36" x14ac:dyDescent="0.25"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I4:AI5"/>
    <mergeCell ref="AJ4:AJ5"/>
    <mergeCell ref="C16:AH16"/>
    <mergeCell ref="AF21:AF23"/>
    <mergeCell ref="AE1:AH1"/>
    <mergeCell ref="A4:A5"/>
    <mergeCell ref="B4:B5"/>
    <mergeCell ref="AH4:AH5"/>
  </mergeCells>
  <conditionalFormatting sqref="AG7 O6:AG6 C8:L8 N8 R8:AG8 D9:AG9 C13:D14 G13:AG14 R7:AE7 C15:AG15 C6:K6 D7:L7 C10:AG12">
    <cfRule type="containsText" dxfId="89" priority="17" operator="containsText" text="e">
      <formula>NOT(ISERROR(SEARCH("e",C6)))</formula>
    </cfRule>
    <cfRule type="containsText" dxfId="88" priority="18" operator="containsText" text="co">
      <formula>NOT(ISERROR(SEARCH("co",C6)))</formula>
    </cfRule>
  </conditionalFormatting>
  <conditionalFormatting sqref="L6">
    <cfRule type="containsText" dxfId="87" priority="15" operator="containsText" text="e">
      <formula>NOT(ISERROR(SEARCH("e",L6)))</formula>
    </cfRule>
    <cfRule type="containsText" dxfId="86" priority="16" operator="containsText" text="co">
      <formula>NOT(ISERROR(SEARCH("co",L6)))</formula>
    </cfRule>
  </conditionalFormatting>
  <conditionalFormatting sqref="M6:N6">
    <cfRule type="containsText" dxfId="85" priority="13" operator="containsText" text="e">
      <formula>NOT(ISERROR(SEARCH("e",M6)))</formula>
    </cfRule>
    <cfRule type="containsText" dxfId="84" priority="14" operator="containsText" text="co">
      <formula>NOT(ISERROR(SEARCH("co",M6)))</formula>
    </cfRule>
  </conditionalFormatting>
  <conditionalFormatting sqref="M7:Q7">
    <cfRule type="containsText" dxfId="83" priority="11" operator="containsText" text="e">
      <formula>NOT(ISERROR(SEARCH("e",M7)))</formula>
    </cfRule>
    <cfRule type="containsText" dxfId="82" priority="12" operator="containsText" text="co">
      <formula>NOT(ISERROR(SEARCH("co",M7)))</formula>
    </cfRule>
  </conditionalFormatting>
  <conditionalFormatting sqref="M8">
    <cfRule type="containsText" dxfId="81" priority="9" operator="containsText" text="e">
      <formula>NOT(ISERROR(SEARCH("e",M8)))</formula>
    </cfRule>
    <cfRule type="containsText" dxfId="80" priority="10" operator="containsText" text="co">
      <formula>NOT(ISERROR(SEARCH("co",M8)))</formula>
    </cfRule>
  </conditionalFormatting>
  <conditionalFormatting sqref="O8:Q8">
    <cfRule type="containsText" dxfId="79" priority="7" operator="containsText" text="e">
      <formula>NOT(ISERROR(SEARCH("e",O8)))</formula>
    </cfRule>
    <cfRule type="containsText" dxfId="78" priority="8" operator="containsText" text="co">
      <formula>NOT(ISERROR(SEARCH("co",O8)))</formula>
    </cfRule>
  </conditionalFormatting>
  <conditionalFormatting sqref="C9">
    <cfRule type="containsText" dxfId="77" priority="5" operator="containsText" text="e">
      <formula>NOT(ISERROR(SEARCH("e",C9)))</formula>
    </cfRule>
    <cfRule type="containsText" dxfId="76" priority="6" operator="containsText" text="co">
      <formula>NOT(ISERROR(SEARCH("co",C9)))</formula>
    </cfRule>
  </conditionalFormatting>
  <conditionalFormatting sqref="E13:F14">
    <cfRule type="containsText" dxfId="75" priority="3" operator="containsText" text="e">
      <formula>NOT(ISERROR(SEARCH("e",E13)))</formula>
    </cfRule>
    <cfRule type="containsText" dxfId="74" priority="4" operator="containsText" text="co">
      <formula>NOT(ISERROR(SEARCH("co",E13)))</formula>
    </cfRule>
  </conditionalFormatting>
  <conditionalFormatting sqref="C7">
    <cfRule type="containsText" dxfId="73" priority="1" operator="containsText" text="e">
      <formula>NOT(ISERROR(SEARCH("e",C7)))</formula>
    </cfRule>
    <cfRule type="containsText" dxfId="72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S23" sqref="S23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80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40">
        <v>1</v>
      </c>
      <c r="D4" s="40">
        <v>2</v>
      </c>
      <c r="E4" s="40">
        <v>3</v>
      </c>
      <c r="F4" s="40">
        <v>4</v>
      </c>
      <c r="G4" s="40">
        <v>5</v>
      </c>
      <c r="H4" s="40">
        <v>6</v>
      </c>
      <c r="I4" s="40">
        <v>7</v>
      </c>
      <c r="J4" s="40">
        <v>8</v>
      </c>
      <c r="K4" s="40">
        <v>9</v>
      </c>
      <c r="L4" s="40">
        <v>10</v>
      </c>
      <c r="M4" s="40">
        <v>11</v>
      </c>
      <c r="N4" s="40">
        <v>12</v>
      </c>
      <c r="O4" s="40">
        <v>13</v>
      </c>
      <c r="P4" s="40">
        <v>14</v>
      </c>
      <c r="Q4" s="40">
        <v>15</v>
      </c>
      <c r="R4" s="40">
        <v>16</v>
      </c>
      <c r="S4" s="40">
        <v>17</v>
      </c>
      <c r="T4" s="40">
        <v>18</v>
      </c>
      <c r="U4" s="40">
        <v>19</v>
      </c>
      <c r="V4" s="40">
        <v>20</v>
      </c>
      <c r="W4" s="40">
        <v>21</v>
      </c>
      <c r="X4" s="40">
        <v>22</v>
      </c>
      <c r="Y4" s="40">
        <v>23</v>
      </c>
      <c r="Z4" s="40">
        <v>24</v>
      </c>
      <c r="AA4" s="40">
        <v>25</v>
      </c>
      <c r="AB4" s="40">
        <v>26</v>
      </c>
      <c r="AC4" s="40">
        <v>27</v>
      </c>
      <c r="AD4" s="40">
        <v>28</v>
      </c>
      <c r="AE4" s="40">
        <v>29</v>
      </c>
      <c r="AF4" s="40">
        <v>30</v>
      </c>
      <c r="AG4" s="40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40" t="s">
        <v>58</v>
      </c>
      <c r="D5" s="40" t="s">
        <v>59</v>
      </c>
      <c r="E5" s="40" t="s">
        <v>60</v>
      </c>
      <c r="F5" s="40" t="s">
        <v>54</v>
      </c>
      <c r="G5" s="40" t="s">
        <v>55</v>
      </c>
      <c r="H5" s="40" t="s">
        <v>56</v>
      </c>
      <c r="I5" s="40" t="s">
        <v>57</v>
      </c>
      <c r="J5" s="40" t="s">
        <v>58</v>
      </c>
      <c r="K5" s="40" t="s">
        <v>59</v>
      </c>
      <c r="L5" s="40" t="s">
        <v>60</v>
      </c>
      <c r="M5" s="40" t="s">
        <v>54</v>
      </c>
      <c r="N5" s="40" t="s">
        <v>55</v>
      </c>
      <c r="O5" s="40" t="s">
        <v>56</v>
      </c>
      <c r="P5" s="40" t="s">
        <v>57</v>
      </c>
      <c r="Q5" s="40" t="s">
        <v>58</v>
      </c>
      <c r="R5" s="40" t="s">
        <v>59</v>
      </c>
      <c r="S5" s="40" t="s">
        <v>60</v>
      </c>
      <c r="T5" s="40" t="s">
        <v>54</v>
      </c>
      <c r="U5" s="40" t="s">
        <v>55</v>
      </c>
      <c r="V5" s="40" t="s">
        <v>56</v>
      </c>
      <c r="W5" s="40" t="s">
        <v>57</v>
      </c>
      <c r="X5" s="40" t="s">
        <v>58</v>
      </c>
      <c r="Y5" s="40" t="s">
        <v>59</v>
      </c>
      <c r="Z5" s="40" t="s">
        <v>60</v>
      </c>
      <c r="AA5" s="40" t="s">
        <v>54</v>
      </c>
      <c r="AB5" s="40" t="s">
        <v>55</v>
      </c>
      <c r="AC5" s="40" t="s">
        <v>56</v>
      </c>
      <c r="AD5" s="40" t="s">
        <v>57</v>
      </c>
      <c r="AE5" s="40" t="s">
        <v>58</v>
      </c>
      <c r="AF5" s="40" t="s">
        <v>59</v>
      </c>
      <c r="AG5" s="40" t="s">
        <v>60</v>
      </c>
      <c r="AH5" s="56"/>
      <c r="AI5" s="56"/>
      <c r="AJ5" s="56"/>
    </row>
    <row r="6" spans="1:36" ht="20.100000000000001" customHeight="1" x14ac:dyDescent="0.25">
      <c r="A6" s="28"/>
      <c r="B6" s="45" t="str">
        <f>Jan!B22</f>
        <v>S K Nayak</v>
      </c>
      <c r="C6" s="2"/>
      <c r="D6" s="2"/>
      <c r="E6" s="2"/>
      <c r="F6" s="2"/>
      <c r="G6" s="2"/>
      <c r="H6" s="2"/>
      <c r="I6" s="3"/>
      <c r="J6" s="3"/>
      <c r="K6" s="3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/>
      <c r="AD6" s="2"/>
      <c r="AE6" s="2"/>
      <c r="AF6" s="2"/>
      <c r="AG6" s="2"/>
      <c r="AH6" s="2">
        <f>COUNTIF(C6:AG6, "CO")</f>
        <v>0</v>
      </c>
      <c r="AI6" s="2">
        <f t="shared" ref="AI6:AI15" si="0">COUNTIF(C6:AG6, "E")</f>
        <v>0</v>
      </c>
      <c r="AJ6" s="2">
        <v>1</v>
      </c>
    </row>
    <row r="7" spans="1:36" ht="20.100000000000001" customHeight="1" x14ac:dyDescent="0.25">
      <c r="A7" s="20">
        <f>'dec''24'!A6+'dec''24'!AI6+'dec''24'!AJ6-'dec''24'!AH6</f>
        <v>46</v>
      </c>
      <c r="B7" s="45" t="str">
        <f>Jan!B21</f>
        <v>S R Mahto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s">
        <v>40</v>
      </c>
      <c r="AE7" s="2"/>
      <c r="AG7" s="2"/>
      <c r="AH7" s="2">
        <f>COUNTIF(C7:AG7, "CO")</f>
        <v>1</v>
      </c>
      <c r="AI7" s="2">
        <f t="shared" si="0"/>
        <v>0</v>
      </c>
      <c r="AJ7" s="2">
        <v>1</v>
      </c>
    </row>
    <row r="8" spans="1:36" ht="20.100000000000001" customHeight="1" x14ac:dyDescent="0.25">
      <c r="A8" s="20">
        <f>'dec''24'!A8+'dec''24'!AI8+'dec''24'!AJ8-'dec''24'!AH8</f>
        <v>67</v>
      </c>
      <c r="B8" s="45" t="str">
        <f>Jan!B18</f>
        <v>S K Sahoo</v>
      </c>
      <c r="C8" s="2"/>
      <c r="D8" s="2"/>
      <c r="E8" s="2"/>
      <c r="F8" s="3"/>
      <c r="G8" s="3"/>
      <c r="H8" s="2"/>
      <c r="I8" s="2"/>
      <c r="J8" s="2"/>
      <c r="K8" s="2" t="s">
        <v>39</v>
      </c>
      <c r="L8" s="2"/>
      <c r="M8" s="3"/>
      <c r="N8" s="3"/>
      <c r="O8" s="3"/>
      <c r="P8" s="3"/>
      <c r="Q8" s="3"/>
      <c r="R8" s="2"/>
      <c r="S8" s="2"/>
      <c r="T8" s="3"/>
      <c r="U8" s="3"/>
      <c r="V8" s="2"/>
      <c r="W8" s="2" t="s">
        <v>39</v>
      </c>
      <c r="X8" s="2"/>
      <c r="Y8" s="2"/>
      <c r="Z8" s="2"/>
      <c r="AA8" s="3"/>
      <c r="AB8" s="3"/>
      <c r="AC8" s="2"/>
      <c r="AD8" s="2" t="s">
        <v>40</v>
      </c>
      <c r="AE8" s="2" t="s">
        <v>40</v>
      </c>
      <c r="AF8" s="2" t="s">
        <v>40</v>
      </c>
      <c r="AG8" s="2"/>
      <c r="AH8" s="2">
        <f>COUNTIF(C8:AG8, "CO")</f>
        <v>3</v>
      </c>
      <c r="AI8" s="2">
        <f t="shared" si="0"/>
        <v>2</v>
      </c>
      <c r="AJ8" s="2">
        <v>1</v>
      </c>
    </row>
    <row r="9" spans="1:36" ht="20.100000000000001" customHeight="1" x14ac:dyDescent="0.25">
      <c r="A9" s="20">
        <f>'dec''24'!A9+'dec''24'!AI9+'dec''24'!AJ9-'dec''24'!AH9</f>
        <v>46</v>
      </c>
      <c r="B9" s="45" t="str">
        <f>Jan!B10</f>
        <v>SK Maharana</v>
      </c>
      <c r="C9" s="3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 t="s">
        <v>47</v>
      </c>
      <c r="X9" s="2" t="s">
        <v>47</v>
      </c>
      <c r="Y9" s="2" t="s">
        <v>47</v>
      </c>
      <c r="Z9" s="2"/>
      <c r="AA9" s="3"/>
      <c r="AB9" s="3"/>
      <c r="AC9" s="2"/>
      <c r="AD9" s="2"/>
      <c r="AE9" s="2"/>
      <c r="AF9" s="2"/>
      <c r="AG9" s="2"/>
      <c r="AH9" s="2">
        <f>COUNTIF(C9:AG9, "CO")</f>
        <v>3</v>
      </c>
      <c r="AI9" s="2">
        <f t="shared" si="0"/>
        <v>0</v>
      </c>
      <c r="AJ9" s="2">
        <v>1</v>
      </c>
    </row>
    <row r="10" spans="1:36" ht="20.100000000000001" customHeight="1" x14ac:dyDescent="0.25">
      <c r="A10" s="20">
        <f>'dec''24'!A10+'dec''24'!AI10+'dec''24'!AJ10-'dec''24'!AH10</f>
        <v>38</v>
      </c>
      <c r="B10" s="45" t="str">
        <f>Jan!B19</f>
        <v>A K Dalai</v>
      </c>
      <c r="C10" s="2"/>
      <c r="D10" s="2"/>
      <c r="E10" s="2"/>
      <c r="F10" s="3"/>
      <c r="G10" s="3"/>
      <c r="H10" s="2" t="s">
        <v>40</v>
      </c>
      <c r="I10" s="2"/>
      <c r="J10" s="2" t="s">
        <v>40</v>
      </c>
      <c r="K10" s="2" t="s">
        <v>40</v>
      </c>
      <c r="L10" s="2" t="s">
        <v>40</v>
      </c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 t="s">
        <v>40</v>
      </c>
      <c r="AE10" s="2" t="s">
        <v>40</v>
      </c>
      <c r="AF10" s="2" t="s">
        <v>40</v>
      </c>
      <c r="AG10" s="2" t="s">
        <v>40</v>
      </c>
      <c r="AH10" s="2">
        <f t="shared" ref="AH10:AH15" si="1">COUNTIF(C10:AG10, "CO")</f>
        <v>8</v>
      </c>
      <c r="AI10" s="2">
        <f t="shared" si="0"/>
        <v>0</v>
      </c>
      <c r="AJ10" s="2">
        <v>1</v>
      </c>
    </row>
    <row r="11" spans="1:36" ht="20.100000000000001" customHeight="1" x14ac:dyDescent="0.25">
      <c r="A11" s="20">
        <f>'dec''24'!A11+'dec''24'!AI11+'dec''24'!AJ11-'dec''24'!AH11</f>
        <v>53</v>
      </c>
      <c r="B11" s="45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2"/>
      <c r="W11" s="2"/>
      <c r="X11" s="2"/>
      <c r="Y11" s="2" t="s">
        <v>40</v>
      </c>
      <c r="Z11" s="2"/>
      <c r="AA11" s="3"/>
      <c r="AB11" s="3"/>
      <c r="AC11" s="2"/>
      <c r="AD11" s="2"/>
      <c r="AE11" s="2"/>
      <c r="AF11" s="2"/>
      <c r="AG11" s="2"/>
      <c r="AH11" s="2">
        <f t="shared" si="1"/>
        <v>1</v>
      </c>
      <c r="AI11" s="2">
        <f t="shared" si="0"/>
        <v>0</v>
      </c>
      <c r="AJ11" s="2">
        <v>1</v>
      </c>
    </row>
    <row r="12" spans="1:36" ht="20.100000000000001" customHeight="1" x14ac:dyDescent="0.25">
      <c r="A12" s="20">
        <f>'dec''24'!A12+'dec''24'!AI12+'dec''24'!AJ12-'dec''24'!AH12</f>
        <v>54</v>
      </c>
      <c r="B12" s="45" t="str">
        <f>Jan!B16</f>
        <v>M Bishi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0</v>
      </c>
      <c r="AJ12" s="2">
        <v>1</v>
      </c>
    </row>
    <row r="13" spans="1:36" ht="20.100000000000001" customHeight="1" x14ac:dyDescent="0.25">
      <c r="A13" s="20">
        <f>'dec''24'!A13+'dec''24'!AI13+'dec''24'!AJ13-'dec''24'!AH13</f>
        <v>11</v>
      </c>
      <c r="B13" s="45" t="str">
        <f>Jan!B17</f>
        <v>S C Behera</v>
      </c>
      <c r="C13" s="2" t="s">
        <v>40</v>
      </c>
      <c r="D13" s="2"/>
      <c r="E13" s="3"/>
      <c r="F13" s="3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 t="s">
        <v>40</v>
      </c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 t="s">
        <v>40</v>
      </c>
      <c r="AH13" s="2">
        <f t="shared" si="1"/>
        <v>3</v>
      </c>
      <c r="AI13" s="2">
        <f t="shared" si="0"/>
        <v>0</v>
      </c>
      <c r="AJ13" s="2">
        <v>1</v>
      </c>
    </row>
    <row r="14" spans="1:36" ht="20.100000000000001" customHeight="1" x14ac:dyDescent="0.25">
      <c r="A14" s="20">
        <f>'dec''24'!A14+'dec''24'!AI14+'dec''24'!AJ14-'dec''24'!AH14</f>
        <v>74</v>
      </c>
      <c r="B14" s="45" t="str">
        <f>Jan!B20</f>
        <v>M C Tudu</v>
      </c>
      <c r="C14" s="2"/>
      <c r="D14" s="2"/>
      <c r="E14" s="3"/>
      <c r="F14" s="3"/>
      <c r="G14" s="2"/>
      <c r="H14" s="2"/>
      <c r="I14" s="2"/>
      <c r="J14" s="2" t="s">
        <v>40</v>
      </c>
      <c r="K14" s="2" t="s">
        <v>40</v>
      </c>
      <c r="L14" s="2" t="s">
        <v>40</v>
      </c>
      <c r="M14" s="3"/>
      <c r="N14" s="3" t="s">
        <v>40</v>
      </c>
      <c r="O14" s="3" t="s">
        <v>40</v>
      </c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si="1"/>
        <v>5</v>
      </c>
      <c r="AI14" s="2">
        <f t="shared" si="0"/>
        <v>0</v>
      </c>
      <c r="AJ14" s="2">
        <v>1</v>
      </c>
    </row>
    <row r="15" spans="1:36" ht="20.100000000000001" customHeight="1" x14ac:dyDescent="0.25">
      <c r="A15" s="20">
        <f>'dec''24'!A15+'dec''24'!AI15+'dec''24'!AJ15-'dec''24'!AH15</f>
        <v>52</v>
      </c>
      <c r="B15" s="45" t="str">
        <f>Jan!B15</f>
        <v>D Pangi</v>
      </c>
      <c r="C15" s="2"/>
      <c r="D15" s="2"/>
      <c r="E15" s="2"/>
      <c r="F15" s="3"/>
      <c r="G15" s="3"/>
      <c r="H15" s="3"/>
      <c r="I15" s="3"/>
      <c r="J15" s="3"/>
      <c r="K15" s="2"/>
      <c r="L15" s="2"/>
      <c r="M15" s="3"/>
      <c r="N15" s="3"/>
      <c r="O15" s="2"/>
      <c r="P15" s="2"/>
      <c r="Q15" s="2"/>
      <c r="R15" s="2"/>
      <c r="S15" s="2" t="s">
        <v>40</v>
      </c>
      <c r="T15" s="3" t="s">
        <v>40</v>
      </c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2</v>
      </c>
      <c r="AI15" s="2">
        <f t="shared" si="0"/>
        <v>0</v>
      </c>
      <c r="AJ15" s="2">
        <v>1</v>
      </c>
    </row>
    <row r="16" spans="1:36" x14ac:dyDescent="0.25">
      <c r="A16" s="11"/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AI4:AI5"/>
    <mergeCell ref="AJ4:AJ5"/>
    <mergeCell ref="C16:AH16"/>
    <mergeCell ref="AF21:AF23"/>
    <mergeCell ref="AE1:AH1"/>
    <mergeCell ref="A4:A5"/>
    <mergeCell ref="B4:B5"/>
    <mergeCell ref="AH4:AH5"/>
  </mergeCells>
  <conditionalFormatting sqref="AG7 O6:AG6 C8:L8 N8 R8:AG8 D9:AG9 C13:D14 R7:AE7 C15:AG15 C6:K6 D7:L7 C10:AG12 G13:AG14">
    <cfRule type="containsText" dxfId="71" priority="17" operator="containsText" text="e">
      <formula>NOT(ISERROR(SEARCH("e",C6)))</formula>
    </cfRule>
    <cfRule type="containsText" dxfId="70" priority="18" operator="containsText" text="co">
      <formula>NOT(ISERROR(SEARCH("co",C6)))</formula>
    </cfRule>
  </conditionalFormatting>
  <conditionalFormatting sqref="L6">
    <cfRule type="containsText" dxfId="69" priority="15" operator="containsText" text="e">
      <formula>NOT(ISERROR(SEARCH("e",L6)))</formula>
    </cfRule>
    <cfRule type="containsText" dxfId="68" priority="16" operator="containsText" text="co">
      <formula>NOT(ISERROR(SEARCH("co",L6)))</formula>
    </cfRule>
  </conditionalFormatting>
  <conditionalFormatting sqref="M6:N6">
    <cfRule type="containsText" dxfId="67" priority="13" operator="containsText" text="e">
      <formula>NOT(ISERROR(SEARCH("e",M6)))</formula>
    </cfRule>
    <cfRule type="containsText" dxfId="66" priority="14" operator="containsText" text="co">
      <formula>NOT(ISERROR(SEARCH("co",M6)))</formula>
    </cfRule>
  </conditionalFormatting>
  <conditionalFormatting sqref="M7:Q7">
    <cfRule type="containsText" dxfId="65" priority="11" operator="containsText" text="e">
      <formula>NOT(ISERROR(SEARCH("e",M7)))</formula>
    </cfRule>
    <cfRule type="containsText" dxfId="64" priority="12" operator="containsText" text="co">
      <formula>NOT(ISERROR(SEARCH("co",M7)))</formula>
    </cfRule>
  </conditionalFormatting>
  <conditionalFormatting sqref="M8">
    <cfRule type="containsText" dxfId="63" priority="9" operator="containsText" text="e">
      <formula>NOT(ISERROR(SEARCH("e",M8)))</formula>
    </cfRule>
    <cfRule type="containsText" dxfId="62" priority="10" operator="containsText" text="co">
      <formula>NOT(ISERROR(SEARCH("co",M8)))</formula>
    </cfRule>
  </conditionalFormatting>
  <conditionalFormatting sqref="O8:Q8">
    <cfRule type="containsText" dxfId="61" priority="7" operator="containsText" text="e">
      <formula>NOT(ISERROR(SEARCH("e",O8)))</formula>
    </cfRule>
    <cfRule type="containsText" dxfId="60" priority="8" operator="containsText" text="co">
      <formula>NOT(ISERROR(SEARCH("co",O8)))</formula>
    </cfRule>
  </conditionalFormatting>
  <conditionalFormatting sqref="C9">
    <cfRule type="containsText" dxfId="59" priority="5" operator="containsText" text="e">
      <formula>NOT(ISERROR(SEARCH("e",C9)))</formula>
    </cfRule>
    <cfRule type="containsText" dxfId="58" priority="6" operator="containsText" text="co">
      <formula>NOT(ISERROR(SEARCH("co",C9)))</formula>
    </cfRule>
  </conditionalFormatting>
  <conditionalFormatting sqref="E13:F14">
    <cfRule type="containsText" dxfId="57" priority="3" operator="containsText" text="e">
      <formula>NOT(ISERROR(SEARCH("e",E13)))</formula>
    </cfRule>
    <cfRule type="containsText" dxfId="56" priority="4" operator="containsText" text="co">
      <formula>NOT(ISERROR(SEARCH("co",E13)))</formula>
    </cfRule>
  </conditionalFormatting>
  <conditionalFormatting sqref="C7">
    <cfRule type="containsText" dxfId="55" priority="1" operator="containsText" text="e">
      <formula>NOT(ISERROR(SEARCH("e",C7)))</formula>
    </cfRule>
    <cfRule type="containsText" dxfId="54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E1" sqref="AE1:AH1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83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41">
        <v>1</v>
      </c>
      <c r="D4" s="41">
        <v>2</v>
      </c>
      <c r="E4" s="41">
        <v>3</v>
      </c>
      <c r="F4" s="41">
        <v>4</v>
      </c>
      <c r="G4" s="41">
        <v>5</v>
      </c>
      <c r="H4" s="41">
        <v>6</v>
      </c>
      <c r="I4" s="41">
        <v>7</v>
      </c>
      <c r="J4" s="41">
        <v>8</v>
      </c>
      <c r="K4" s="41">
        <v>9</v>
      </c>
      <c r="L4" s="41">
        <v>10</v>
      </c>
      <c r="M4" s="41">
        <v>11</v>
      </c>
      <c r="N4" s="41">
        <v>12</v>
      </c>
      <c r="O4" s="41">
        <v>13</v>
      </c>
      <c r="P4" s="41">
        <v>14</v>
      </c>
      <c r="Q4" s="41">
        <v>15</v>
      </c>
      <c r="R4" s="41">
        <v>16</v>
      </c>
      <c r="S4" s="41">
        <v>17</v>
      </c>
      <c r="T4" s="41">
        <v>18</v>
      </c>
      <c r="U4" s="41">
        <v>19</v>
      </c>
      <c r="V4" s="41">
        <v>20</v>
      </c>
      <c r="W4" s="41">
        <v>21</v>
      </c>
      <c r="X4" s="41">
        <v>22</v>
      </c>
      <c r="Y4" s="41">
        <v>23</v>
      </c>
      <c r="Z4" s="41">
        <v>24</v>
      </c>
      <c r="AA4" s="41">
        <v>25</v>
      </c>
      <c r="AB4" s="41">
        <v>26</v>
      </c>
      <c r="AC4" s="41">
        <v>27</v>
      </c>
      <c r="AD4" s="41">
        <v>28</v>
      </c>
      <c r="AE4" s="41"/>
      <c r="AF4" s="41"/>
      <c r="AG4" s="41"/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41" t="s">
        <v>54</v>
      </c>
      <c r="D5" s="41" t="s">
        <v>55</v>
      </c>
      <c r="E5" s="41" t="s">
        <v>56</v>
      </c>
      <c r="F5" s="41" t="s">
        <v>57</v>
      </c>
      <c r="G5" s="41" t="s">
        <v>58</v>
      </c>
      <c r="H5" s="41" t="s">
        <v>59</v>
      </c>
      <c r="I5" s="41" t="s">
        <v>60</v>
      </c>
      <c r="J5" s="41" t="s">
        <v>54</v>
      </c>
      <c r="K5" s="41" t="s">
        <v>55</v>
      </c>
      <c r="L5" s="41" t="s">
        <v>56</v>
      </c>
      <c r="M5" s="41" t="s">
        <v>57</v>
      </c>
      <c r="N5" s="41" t="s">
        <v>58</v>
      </c>
      <c r="O5" s="41" t="s">
        <v>59</v>
      </c>
      <c r="P5" s="41" t="s">
        <v>60</v>
      </c>
      <c r="Q5" s="41" t="s">
        <v>54</v>
      </c>
      <c r="R5" s="41" t="s">
        <v>55</v>
      </c>
      <c r="S5" s="41" t="s">
        <v>56</v>
      </c>
      <c r="T5" s="41" t="s">
        <v>57</v>
      </c>
      <c r="U5" s="41" t="s">
        <v>58</v>
      </c>
      <c r="V5" s="41" t="s">
        <v>59</v>
      </c>
      <c r="W5" s="41" t="s">
        <v>60</v>
      </c>
      <c r="X5" s="41" t="s">
        <v>54</v>
      </c>
      <c r="Y5" s="41" t="s">
        <v>55</v>
      </c>
      <c r="Z5" s="41" t="s">
        <v>56</v>
      </c>
      <c r="AA5" s="41" t="s">
        <v>57</v>
      </c>
      <c r="AB5" s="41" t="s">
        <v>58</v>
      </c>
      <c r="AC5" s="41" t="s">
        <v>59</v>
      </c>
      <c r="AD5" s="41" t="s">
        <v>60</v>
      </c>
      <c r="AE5" s="41"/>
      <c r="AF5" s="41"/>
      <c r="AG5" s="41"/>
      <c r="AH5" s="56"/>
      <c r="AI5" s="56"/>
      <c r="AJ5" s="56"/>
    </row>
    <row r="6" spans="1:36" ht="20.100000000000001" customHeight="1" x14ac:dyDescent="0.25">
      <c r="A6" s="28"/>
      <c r="B6" s="45" t="str">
        <f>Jan!B22</f>
        <v>S K Nayak</v>
      </c>
      <c r="C6" s="2"/>
      <c r="D6" s="2"/>
      <c r="E6" s="2"/>
      <c r="F6" s="2"/>
      <c r="G6" s="2"/>
      <c r="H6" s="2"/>
      <c r="I6" s="3"/>
      <c r="J6" s="3"/>
      <c r="K6" s="3"/>
      <c r="L6" s="2"/>
      <c r="M6" s="3"/>
      <c r="N6" s="3" t="s">
        <v>40</v>
      </c>
      <c r="O6" s="3" t="s">
        <v>40</v>
      </c>
      <c r="P6" s="3" t="s">
        <v>40</v>
      </c>
      <c r="Q6" s="3" t="s">
        <v>40</v>
      </c>
      <c r="R6" s="2"/>
      <c r="S6" s="2" t="s">
        <v>40</v>
      </c>
      <c r="T6" s="2" t="s">
        <v>40</v>
      </c>
      <c r="U6" s="3"/>
      <c r="V6" s="2"/>
      <c r="W6" s="2"/>
      <c r="X6" s="2"/>
      <c r="Y6" s="2"/>
      <c r="Z6" s="2"/>
      <c r="AA6" s="3"/>
      <c r="AB6" s="3"/>
      <c r="AC6" s="2"/>
      <c r="AD6" s="2"/>
      <c r="AE6" s="2"/>
      <c r="AF6" s="2"/>
      <c r="AG6" s="2"/>
      <c r="AH6" s="2">
        <f>COUNTIF(C6:AG6, "CO")</f>
        <v>6</v>
      </c>
      <c r="AI6" s="2">
        <f t="shared" ref="AI6:AI15" si="0">COUNTIF(C6:AG6, "E")</f>
        <v>0</v>
      </c>
      <c r="AJ6" s="2">
        <v>1</v>
      </c>
    </row>
    <row r="7" spans="1:36" ht="20.100000000000001" customHeight="1" x14ac:dyDescent="0.25">
      <c r="A7" s="20">
        <f>'Jan''2025'!A7+'Jan''2025'!AI7+'Jan''2025'!AJ7-'Jan''2025'!AH7</f>
        <v>46</v>
      </c>
      <c r="B7" s="45" t="str">
        <f>Jan!B21</f>
        <v>S R Mahto</v>
      </c>
      <c r="C7" s="2"/>
      <c r="D7" s="2"/>
      <c r="E7" s="2"/>
      <c r="F7" s="2"/>
      <c r="G7" s="2"/>
      <c r="H7" s="2"/>
      <c r="I7" s="2"/>
      <c r="J7" s="2"/>
      <c r="K7" s="2" t="s">
        <v>40</v>
      </c>
      <c r="L7" s="2" t="s">
        <v>40</v>
      </c>
      <c r="M7" s="3" t="s">
        <v>40</v>
      </c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s">
        <v>40</v>
      </c>
      <c r="AE7" s="2"/>
      <c r="AG7" s="2"/>
      <c r="AH7" s="2">
        <f>COUNTIF(C7:AG7, "CO")</f>
        <v>4</v>
      </c>
      <c r="AI7" s="2">
        <f t="shared" si="0"/>
        <v>0</v>
      </c>
      <c r="AJ7" s="2">
        <v>1</v>
      </c>
    </row>
    <row r="8" spans="1:36" ht="20.100000000000001" customHeight="1" x14ac:dyDescent="0.25">
      <c r="A8" s="20">
        <f>'Jan''2025'!A8+'Jan''2025'!AI8+'Jan''2025'!AJ8-'Jan''2025'!AH8</f>
        <v>67</v>
      </c>
      <c r="B8" s="45" t="str">
        <f>Jan!B18</f>
        <v>S K Sahoo</v>
      </c>
      <c r="C8" s="2"/>
      <c r="D8" s="2"/>
      <c r="E8" s="2"/>
      <c r="F8" s="3"/>
      <c r="G8" s="3"/>
      <c r="H8" s="2" t="s">
        <v>40</v>
      </c>
      <c r="I8" s="2"/>
      <c r="J8" s="2" t="s">
        <v>40</v>
      </c>
      <c r="K8" s="2"/>
      <c r="L8" s="2"/>
      <c r="M8" s="3"/>
      <c r="N8" s="3"/>
      <c r="O8" s="3"/>
      <c r="P8" s="3"/>
      <c r="Q8" s="3"/>
      <c r="R8" s="2"/>
      <c r="S8" s="2" t="s">
        <v>40</v>
      </c>
      <c r="T8" s="2" t="s">
        <v>40</v>
      </c>
      <c r="U8" s="2" t="s">
        <v>40</v>
      </c>
      <c r="V8" s="2" t="s">
        <v>40</v>
      </c>
      <c r="W8" s="2"/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  <c r="AD8" s="2"/>
      <c r="AE8" s="2"/>
      <c r="AF8" s="2"/>
      <c r="AG8" s="2"/>
      <c r="AH8" s="2">
        <f>COUNTIF(C8:AG8, "CO")</f>
        <v>12</v>
      </c>
      <c r="AI8" s="2">
        <f t="shared" si="0"/>
        <v>0</v>
      </c>
      <c r="AJ8" s="2">
        <v>1</v>
      </c>
    </row>
    <row r="9" spans="1:36" ht="20.100000000000001" customHeight="1" x14ac:dyDescent="0.25">
      <c r="A9" s="20">
        <f>'Jan''2025'!A9+'Jan''2025'!AI9+'Jan''2025'!AJ9-'Jan''2025'!AH9</f>
        <v>44</v>
      </c>
      <c r="B9" s="45" t="str">
        <f>Jan!B10</f>
        <v>SK Maharana</v>
      </c>
      <c r="C9" s="3"/>
      <c r="D9" s="2"/>
      <c r="E9" s="2"/>
      <c r="F9" s="2"/>
      <c r="G9" s="2"/>
      <c r="H9" s="2"/>
      <c r="I9" s="2"/>
      <c r="J9" s="2"/>
      <c r="K9" s="2"/>
      <c r="L9" s="2" t="s">
        <v>39</v>
      </c>
      <c r="M9" s="3"/>
      <c r="N9" s="3"/>
      <c r="O9" s="2"/>
      <c r="P9" s="2"/>
      <c r="Q9" s="2"/>
      <c r="R9" s="2"/>
      <c r="S9" s="2"/>
      <c r="T9" s="3"/>
      <c r="U9" s="3"/>
      <c r="V9" s="2"/>
      <c r="W9" s="2" t="s">
        <v>47</v>
      </c>
      <c r="X9" s="2" t="s">
        <v>47</v>
      </c>
      <c r="Y9" s="2" t="s">
        <v>47</v>
      </c>
      <c r="Z9" s="2"/>
      <c r="AA9" s="3"/>
      <c r="AB9" s="3"/>
      <c r="AC9" s="2"/>
      <c r="AD9" s="2"/>
      <c r="AE9" s="2"/>
      <c r="AF9" s="2"/>
      <c r="AG9" s="2"/>
      <c r="AH9" s="2">
        <f>COUNTIF(C9:AG9, "CO")</f>
        <v>3</v>
      </c>
      <c r="AI9" s="2">
        <f t="shared" si="0"/>
        <v>1</v>
      </c>
      <c r="AJ9" s="2">
        <v>1</v>
      </c>
    </row>
    <row r="10" spans="1:36" ht="20.100000000000001" customHeight="1" x14ac:dyDescent="0.25">
      <c r="A10" s="20">
        <f>'Jan''2025'!A10+'Jan''2025'!AI10+'Jan''2025'!AJ10-'Jan''2025'!AH10</f>
        <v>31</v>
      </c>
      <c r="B10" s="45" t="str">
        <f>Jan!B19</f>
        <v>A K Dalai</v>
      </c>
      <c r="C10" s="2" t="s">
        <v>40</v>
      </c>
      <c r="D10" s="2" t="s">
        <v>40</v>
      </c>
      <c r="E10" s="2" t="s">
        <v>40</v>
      </c>
      <c r="F10" s="2"/>
      <c r="G10" s="2" t="s">
        <v>40</v>
      </c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 t="s">
        <v>40</v>
      </c>
      <c r="AC10" s="3" t="s">
        <v>40</v>
      </c>
      <c r="AD10" s="3" t="s">
        <v>40</v>
      </c>
      <c r="AE10" s="2"/>
      <c r="AF10" s="2"/>
      <c r="AG10" s="2"/>
      <c r="AH10" s="2">
        <f t="shared" ref="AH10:AH15" si="1">COUNTIF(C10:AG10, "CO")</f>
        <v>7</v>
      </c>
      <c r="AI10" s="2">
        <f t="shared" si="0"/>
        <v>0</v>
      </c>
      <c r="AJ10" s="2">
        <v>1</v>
      </c>
    </row>
    <row r="11" spans="1:36" ht="20.100000000000001" customHeight="1" x14ac:dyDescent="0.25">
      <c r="A11" s="20">
        <f>'Jan''2025'!A11+'Jan''2025'!AI11+'Jan''2025'!AJ11-'Jan''2025'!AH11</f>
        <v>53</v>
      </c>
      <c r="B11" s="45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2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si="1"/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20">
        <f>'Jan''2025'!A12+'Jan''2025'!AI12+'Jan''2025'!AJ12-'Jan''2025'!AH12</f>
        <v>55</v>
      </c>
      <c r="B12" s="45" t="str">
        <f>Jan!B16</f>
        <v>M Bishi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0</v>
      </c>
      <c r="AJ12" s="2">
        <v>1</v>
      </c>
    </row>
    <row r="13" spans="1:36" ht="20.100000000000001" customHeight="1" x14ac:dyDescent="0.25">
      <c r="A13" s="20">
        <f>'Jan''2025'!A13+'Jan''2025'!AI13+'Jan''2025'!AJ13-'Jan''2025'!AH13</f>
        <v>9</v>
      </c>
      <c r="B13" s="45" t="str">
        <f>Jan!B17</f>
        <v>S C Behera</v>
      </c>
      <c r="C13" s="2"/>
      <c r="D13" s="2"/>
      <c r="E13" s="3"/>
      <c r="F13" s="3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0</v>
      </c>
      <c r="AI13" s="2">
        <f t="shared" si="0"/>
        <v>0</v>
      </c>
      <c r="AJ13" s="2">
        <v>1</v>
      </c>
    </row>
    <row r="14" spans="1:36" ht="20.100000000000001" customHeight="1" x14ac:dyDescent="0.25">
      <c r="A14" s="20">
        <f>'Jan''2025'!A14+'Jan''2025'!AI14+'Jan''2025'!AJ14-'Jan''2025'!AH14</f>
        <v>70</v>
      </c>
      <c r="B14" s="45" t="str">
        <f>Jan!B20</f>
        <v>M C Tudu</v>
      </c>
      <c r="C14" s="2"/>
      <c r="D14" s="2"/>
      <c r="E14" s="3"/>
      <c r="F14" s="3" t="s">
        <v>40</v>
      </c>
      <c r="G14" s="3" t="s">
        <v>40</v>
      </c>
      <c r="H14" s="3" t="s">
        <v>40</v>
      </c>
      <c r="I14" s="3" t="s">
        <v>40</v>
      </c>
      <c r="J14" s="2"/>
      <c r="K14" s="2"/>
      <c r="L14" s="2"/>
      <c r="M14" s="3" t="s">
        <v>39</v>
      </c>
      <c r="N14" s="3"/>
      <c r="O14" s="2"/>
      <c r="P14" s="2"/>
      <c r="Q14" s="2"/>
      <c r="R14" s="2"/>
      <c r="S14" s="2"/>
      <c r="T14" s="3"/>
      <c r="U14" s="3"/>
      <c r="V14" s="2" t="s">
        <v>39</v>
      </c>
      <c r="W14" s="2"/>
      <c r="X14" s="2"/>
      <c r="Y14" s="2"/>
      <c r="Z14" s="2"/>
      <c r="AA14" s="3"/>
      <c r="AB14" s="3"/>
      <c r="AC14" s="2" t="s">
        <v>39</v>
      </c>
      <c r="AD14" s="2"/>
      <c r="AE14" s="2"/>
      <c r="AF14" s="2"/>
      <c r="AG14" s="2"/>
      <c r="AH14" s="2">
        <f t="shared" si="1"/>
        <v>4</v>
      </c>
      <c r="AI14" s="2">
        <f t="shared" si="0"/>
        <v>3</v>
      </c>
      <c r="AJ14" s="2">
        <v>1</v>
      </c>
    </row>
    <row r="15" spans="1:36" ht="20.100000000000001" customHeight="1" x14ac:dyDescent="0.25">
      <c r="A15" s="20">
        <f>'Jan''2025'!A15+'Jan''2025'!AI15+'Jan''2025'!AJ15-'Jan''2025'!AH15</f>
        <v>51</v>
      </c>
      <c r="B15" s="45" t="str">
        <f>Jan!B15</f>
        <v>D Pangi</v>
      </c>
      <c r="C15" s="2"/>
      <c r="D15" s="2"/>
      <c r="E15" s="2"/>
      <c r="F15" s="3"/>
      <c r="G15" s="3"/>
      <c r="H15" s="3"/>
      <c r="I15" s="3"/>
      <c r="J15" s="3"/>
      <c r="K15" s="2"/>
      <c r="L15" s="2"/>
      <c r="M15" s="3"/>
      <c r="N15" s="3"/>
      <c r="O15" s="2"/>
      <c r="P15" s="2"/>
      <c r="Q15" s="2"/>
      <c r="R15" s="2"/>
      <c r="S15" s="2"/>
      <c r="T15" s="3"/>
      <c r="U15" s="3" t="s">
        <v>40</v>
      </c>
      <c r="V15" s="2" t="s">
        <v>40</v>
      </c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2</v>
      </c>
      <c r="AI15" s="2">
        <f t="shared" si="0"/>
        <v>0</v>
      </c>
      <c r="AJ15" s="2">
        <v>1</v>
      </c>
    </row>
    <row r="16" spans="1:36" x14ac:dyDescent="0.25">
      <c r="A16" s="11"/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C16:AH16"/>
    <mergeCell ref="AF21:AF23"/>
    <mergeCell ref="AE1:AH1"/>
    <mergeCell ref="A4:A5"/>
    <mergeCell ref="B4:B5"/>
    <mergeCell ref="AH4:AH5"/>
    <mergeCell ref="AI4:AI5"/>
    <mergeCell ref="AJ4:AJ5"/>
  </mergeCells>
  <conditionalFormatting sqref="AG7 C8:L8 N8 D9:AG9 C13:D14 G13:AG13 R7:AE7 C15:AG15 C6:K6 D7:L7 R8:AG8 C10:AG12 J14:AG14 R6:AG6">
    <cfRule type="containsText" dxfId="53" priority="17" operator="containsText" text="e">
      <formula>NOT(ISERROR(SEARCH("e",C6)))</formula>
    </cfRule>
    <cfRule type="containsText" dxfId="52" priority="18" operator="containsText" text="co">
      <formula>NOT(ISERROR(SEARCH("co",C6)))</formula>
    </cfRule>
  </conditionalFormatting>
  <conditionalFormatting sqref="L6">
    <cfRule type="containsText" dxfId="51" priority="15" operator="containsText" text="e">
      <formula>NOT(ISERROR(SEARCH("e",L6)))</formula>
    </cfRule>
    <cfRule type="containsText" dxfId="50" priority="16" operator="containsText" text="co">
      <formula>NOT(ISERROR(SEARCH("co",L6)))</formula>
    </cfRule>
  </conditionalFormatting>
  <conditionalFormatting sqref="M6:Q6">
    <cfRule type="containsText" dxfId="49" priority="13" operator="containsText" text="e">
      <formula>NOT(ISERROR(SEARCH("e",M6)))</formula>
    </cfRule>
    <cfRule type="containsText" dxfId="48" priority="14" operator="containsText" text="co">
      <formula>NOT(ISERROR(SEARCH("co",M6)))</formula>
    </cfRule>
  </conditionalFormatting>
  <conditionalFormatting sqref="M7:Q7">
    <cfRule type="containsText" dxfId="47" priority="11" operator="containsText" text="e">
      <formula>NOT(ISERROR(SEARCH("e",M7)))</formula>
    </cfRule>
    <cfRule type="containsText" dxfId="46" priority="12" operator="containsText" text="co">
      <formula>NOT(ISERROR(SEARCH("co",M7)))</formula>
    </cfRule>
  </conditionalFormatting>
  <conditionalFormatting sqref="M8">
    <cfRule type="containsText" dxfId="45" priority="9" operator="containsText" text="e">
      <formula>NOT(ISERROR(SEARCH("e",M8)))</formula>
    </cfRule>
    <cfRule type="containsText" dxfId="44" priority="10" operator="containsText" text="co">
      <formula>NOT(ISERROR(SEARCH("co",M8)))</formula>
    </cfRule>
  </conditionalFormatting>
  <conditionalFormatting sqref="O8:Q8">
    <cfRule type="containsText" dxfId="43" priority="7" operator="containsText" text="e">
      <formula>NOT(ISERROR(SEARCH("e",O8)))</formula>
    </cfRule>
    <cfRule type="containsText" dxfId="42" priority="8" operator="containsText" text="co">
      <formula>NOT(ISERROR(SEARCH("co",O8)))</formula>
    </cfRule>
  </conditionalFormatting>
  <conditionalFormatting sqref="C9">
    <cfRule type="containsText" dxfId="41" priority="5" operator="containsText" text="e">
      <formula>NOT(ISERROR(SEARCH("e",C9)))</formula>
    </cfRule>
    <cfRule type="containsText" dxfId="40" priority="6" operator="containsText" text="co">
      <formula>NOT(ISERROR(SEARCH("co",C9)))</formula>
    </cfRule>
  </conditionalFormatting>
  <conditionalFormatting sqref="E13:F14 G14:I14">
    <cfRule type="containsText" dxfId="39" priority="3" operator="containsText" text="e">
      <formula>NOT(ISERROR(SEARCH("e",E13)))</formula>
    </cfRule>
    <cfRule type="containsText" dxfId="38" priority="4" operator="containsText" text="co">
      <formula>NOT(ISERROR(SEARCH("co",E13)))</formula>
    </cfRule>
  </conditionalFormatting>
  <conditionalFormatting sqref="C7">
    <cfRule type="containsText" dxfId="37" priority="1" operator="containsText" text="e">
      <formula>NOT(ISERROR(SEARCH("e",C7)))</formula>
    </cfRule>
    <cfRule type="containsText" dxfId="36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zoomScaleNormal="100" workbookViewId="0">
      <selection activeCell="AE1" sqref="AE1:AH1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84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41">
        <v>1</v>
      </c>
      <c r="D4" s="41">
        <v>2</v>
      </c>
      <c r="E4" s="41">
        <v>3</v>
      </c>
      <c r="F4" s="41">
        <v>4</v>
      </c>
      <c r="G4" s="41">
        <v>5</v>
      </c>
      <c r="H4" s="41">
        <v>6</v>
      </c>
      <c r="I4" s="41">
        <v>7</v>
      </c>
      <c r="J4" s="41">
        <v>8</v>
      </c>
      <c r="K4" s="41">
        <v>9</v>
      </c>
      <c r="L4" s="41">
        <v>10</v>
      </c>
      <c r="M4" s="41">
        <v>11</v>
      </c>
      <c r="N4" s="41">
        <v>12</v>
      </c>
      <c r="O4" s="41">
        <v>13</v>
      </c>
      <c r="P4" s="41">
        <v>14</v>
      </c>
      <c r="Q4" s="41">
        <v>15</v>
      </c>
      <c r="R4" s="41">
        <v>16</v>
      </c>
      <c r="S4" s="41">
        <v>17</v>
      </c>
      <c r="T4" s="41">
        <v>18</v>
      </c>
      <c r="U4" s="41">
        <v>19</v>
      </c>
      <c r="V4" s="41">
        <v>20</v>
      </c>
      <c r="W4" s="41">
        <v>21</v>
      </c>
      <c r="X4" s="41">
        <v>22</v>
      </c>
      <c r="Y4" s="41">
        <v>23</v>
      </c>
      <c r="Z4" s="41">
        <v>24</v>
      </c>
      <c r="AA4" s="41">
        <v>25</v>
      </c>
      <c r="AB4" s="41">
        <v>26</v>
      </c>
      <c r="AC4" s="41">
        <v>27</v>
      </c>
      <c r="AD4" s="41">
        <v>28</v>
      </c>
      <c r="AE4" s="41">
        <v>29</v>
      </c>
      <c r="AF4" s="41">
        <v>30</v>
      </c>
      <c r="AG4" s="41">
        <v>31</v>
      </c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41" t="s">
        <v>54</v>
      </c>
      <c r="D5" s="41" t="s">
        <v>55</v>
      </c>
      <c r="E5" s="41" t="s">
        <v>56</v>
      </c>
      <c r="F5" s="41" t="s">
        <v>57</v>
      </c>
      <c r="G5" s="41" t="s">
        <v>58</v>
      </c>
      <c r="H5" s="41" t="s">
        <v>59</v>
      </c>
      <c r="I5" s="41" t="s">
        <v>60</v>
      </c>
      <c r="J5" s="41" t="s">
        <v>54</v>
      </c>
      <c r="K5" s="41" t="s">
        <v>55</v>
      </c>
      <c r="L5" s="41" t="s">
        <v>56</v>
      </c>
      <c r="M5" s="41" t="s">
        <v>57</v>
      </c>
      <c r="N5" s="41" t="s">
        <v>58</v>
      </c>
      <c r="O5" s="41" t="s">
        <v>59</v>
      </c>
      <c r="P5" s="41" t="s">
        <v>60</v>
      </c>
      <c r="Q5" s="41" t="s">
        <v>54</v>
      </c>
      <c r="R5" s="41" t="s">
        <v>55</v>
      </c>
      <c r="S5" s="41" t="s">
        <v>56</v>
      </c>
      <c r="T5" s="41" t="s">
        <v>57</v>
      </c>
      <c r="U5" s="41" t="s">
        <v>58</v>
      </c>
      <c r="V5" s="41" t="s">
        <v>59</v>
      </c>
      <c r="W5" s="41" t="s">
        <v>60</v>
      </c>
      <c r="X5" s="41" t="s">
        <v>54</v>
      </c>
      <c r="Y5" s="41" t="s">
        <v>55</v>
      </c>
      <c r="Z5" s="41" t="s">
        <v>56</v>
      </c>
      <c r="AA5" s="41" t="s">
        <v>57</v>
      </c>
      <c r="AB5" s="41" t="s">
        <v>58</v>
      </c>
      <c r="AC5" s="41" t="s">
        <v>59</v>
      </c>
      <c r="AD5" s="41" t="s">
        <v>60</v>
      </c>
      <c r="AE5" s="41" t="s">
        <v>54</v>
      </c>
      <c r="AF5" s="41" t="s">
        <v>55</v>
      </c>
      <c r="AG5" s="41" t="s">
        <v>56</v>
      </c>
      <c r="AH5" s="56"/>
      <c r="AI5" s="56"/>
      <c r="AJ5" s="56"/>
    </row>
    <row r="6" spans="1:36" ht="20.100000000000001" customHeight="1" x14ac:dyDescent="0.25">
      <c r="A6" s="28"/>
      <c r="B6" s="45" t="str">
        <f>Jan!B22</f>
        <v>S K Nayak</v>
      </c>
      <c r="C6" s="2"/>
      <c r="D6" s="2"/>
      <c r="E6" s="2" t="s">
        <v>40</v>
      </c>
      <c r="F6" s="2" t="s">
        <v>40</v>
      </c>
      <c r="G6" s="2" t="s">
        <v>40</v>
      </c>
      <c r="H6" s="2" t="s">
        <v>40</v>
      </c>
      <c r="I6" s="2" t="s">
        <v>40</v>
      </c>
      <c r="J6" s="2" t="s">
        <v>40</v>
      </c>
      <c r="K6" s="3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 t="s">
        <v>40</v>
      </c>
      <c r="X6" s="2" t="s">
        <v>40</v>
      </c>
      <c r="Y6" s="2"/>
      <c r="Z6" s="2"/>
      <c r="AA6" s="3"/>
      <c r="AB6" s="3"/>
      <c r="AC6" s="2"/>
      <c r="AD6" s="2"/>
      <c r="AE6" s="2"/>
      <c r="AF6" s="2"/>
      <c r="AG6" s="2"/>
      <c r="AH6" s="2">
        <f>COUNTIF(C6:AG6, "CO")</f>
        <v>8</v>
      </c>
      <c r="AI6" s="2">
        <f t="shared" ref="AI6:AI15" si="0">COUNTIF(C6:AG6, "E")</f>
        <v>0</v>
      </c>
      <c r="AJ6" s="2">
        <v>1</v>
      </c>
    </row>
    <row r="7" spans="1:36" ht="20.100000000000001" customHeight="1" x14ac:dyDescent="0.25">
      <c r="A7" s="20">
        <f>'Feb''2025'!A7+'Feb''2025'!AI7+'Feb''2025'!AJ7-'Feb''2025'!AH7</f>
        <v>43</v>
      </c>
      <c r="B7" s="45" t="str">
        <f>Jan!B21</f>
        <v>S R Mahto</v>
      </c>
      <c r="C7" s="2" t="s">
        <v>40</v>
      </c>
      <c r="D7" s="2" t="s">
        <v>40</v>
      </c>
      <c r="E7" s="2" t="s">
        <v>40</v>
      </c>
      <c r="F7" s="2" t="s">
        <v>40</v>
      </c>
      <c r="G7" s="2"/>
      <c r="H7" s="2" t="s">
        <v>40</v>
      </c>
      <c r="I7" s="2" t="s">
        <v>40</v>
      </c>
      <c r="J7" s="2" t="s">
        <v>40</v>
      </c>
      <c r="K7" s="2" t="s">
        <v>40</v>
      </c>
      <c r="L7" s="2" t="s">
        <v>40</v>
      </c>
      <c r="M7" s="2" t="s">
        <v>40</v>
      </c>
      <c r="N7" s="3"/>
      <c r="O7" s="3"/>
      <c r="P7" s="3"/>
      <c r="Q7" s="3"/>
      <c r="R7" s="2"/>
      <c r="S7" s="2" t="s">
        <v>40</v>
      </c>
      <c r="T7" s="2" t="s">
        <v>40</v>
      </c>
      <c r="U7" s="2"/>
      <c r="V7" s="2" t="s">
        <v>40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/>
      <c r="AC7" s="2" t="s">
        <v>40</v>
      </c>
      <c r="AD7" s="2"/>
      <c r="AE7" s="2"/>
      <c r="AG7" s="2"/>
      <c r="AH7" s="2">
        <f>COUNTIF(C7:AG7, "CO")</f>
        <v>19</v>
      </c>
      <c r="AI7" s="2">
        <f t="shared" si="0"/>
        <v>0</v>
      </c>
      <c r="AJ7" s="2">
        <v>1</v>
      </c>
    </row>
    <row r="8" spans="1:36" ht="20.100000000000001" customHeight="1" x14ac:dyDescent="0.25">
      <c r="A8" s="20">
        <f>'Feb''2025'!A8+'Feb''2025'!AI8+'Feb''2025'!AJ8-'Feb''2025'!AH8</f>
        <v>56</v>
      </c>
      <c r="B8" s="45" t="str">
        <f>Jan!B18</f>
        <v>S K Sahoo</v>
      </c>
      <c r="C8" s="2" t="s">
        <v>40</v>
      </c>
      <c r="D8" s="2" t="s">
        <v>40</v>
      </c>
      <c r="E8" s="2" t="s">
        <v>40</v>
      </c>
      <c r="F8" s="2" t="s">
        <v>40</v>
      </c>
      <c r="G8" s="3"/>
      <c r="H8" s="2"/>
      <c r="I8" s="2"/>
      <c r="J8" s="2"/>
      <c r="K8" s="2"/>
      <c r="L8" s="2"/>
      <c r="M8" s="3"/>
      <c r="N8" s="3"/>
      <c r="O8" s="3"/>
      <c r="P8" s="3"/>
      <c r="Q8" s="3"/>
      <c r="R8" s="2"/>
      <c r="S8" s="2"/>
      <c r="T8" s="3"/>
      <c r="U8" s="3"/>
      <c r="V8" s="2"/>
      <c r="W8" s="2"/>
      <c r="X8" s="2"/>
      <c r="Y8" s="2"/>
      <c r="Z8" s="2"/>
      <c r="AA8" s="3"/>
      <c r="AB8" s="3"/>
      <c r="AC8" s="2"/>
      <c r="AD8" s="2"/>
      <c r="AE8" s="2"/>
      <c r="AF8" s="2"/>
      <c r="AG8" s="2"/>
      <c r="AH8" s="2">
        <f>COUNTIF(C8:AG8, "CO")</f>
        <v>4</v>
      </c>
      <c r="AI8" s="2">
        <f t="shared" si="0"/>
        <v>0</v>
      </c>
      <c r="AJ8" s="2">
        <v>1</v>
      </c>
    </row>
    <row r="9" spans="1:36" ht="20.100000000000001" customHeight="1" x14ac:dyDescent="0.25">
      <c r="A9" s="20">
        <f>'Feb''2025'!A9+'Feb''2025'!AI9+'Feb''2025'!AJ9-'Feb''2025'!AH9</f>
        <v>43</v>
      </c>
      <c r="B9" s="45" t="str">
        <f>Jan!B10</f>
        <v>SK Maharana</v>
      </c>
      <c r="C9" s="3"/>
      <c r="D9" s="2"/>
      <c r="E9" s="2" t="s">
        <v>47</v>
      </c>
      <c r="F9" s="2" t="s">
        <v>47</v>
      </c>
      <c r="G9" s="2" t="s">
        <v>47</v>
      </c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3</v>
      </c>
      <c r="AI9" s="2">
        <f t="shared" si="0"/>
        <v>0</v>
      </c>
      <c r="AJ9" s="2">
        <v>1</v>
      </c>
    </row>
    <row r="10" spans="1:36" ht="20.100000000000001" customHeight="1" x14ac:dyDescent="0.25">
      <c r="A10" s="20">
        <f>'Feb''2025'!A10+'Feb''2025'!AI10+'Feb''2025'!AJ10-'Feb''2025'!AH10</f>
        <v>25</v>
      </c>
      <c r="B10" s="45" t="str">
        <f>Jan!B19</f>
        <v>A K Dalai</v>
      </c>
      <c r="C10" s="2" t="s">
        <v>40</v>
      </c>
      <c r="D10" s="2" t="s">
        <v>40</v>
      </c>
      <c r="E10" s="2" t="s">
        <v>40</v>
      </c>
      <c r="F10" s="2"/>
      <c r="G10" s="2" t="s">
        <v>40</v>
      </c>
      <c r="H10" s="2" t="s">
        <v>40</v>
      </c>
      <c r="I10" s="2" t="s">
        <v>40</v>
      </c>
      <c r="J10" s="2" t="s">
        <v>40</v>
      </c>
      <c r="K10" s="2" t="s">
        <v>40</v>
      </c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 t="s">
        <v>40</v>
      </c>
      <c r="AE10" s="2" t="s">
        <v>40</v>
      </c>
      <c r="AF10" s="2"/>
      <c r="AG10" s="2"/>
      <c r="AH10" s="2">
        <f t="shared" ref="AH10:AH15" si="1">COUNTIF(C10:AG10, "CO")</f>
        <v>10</v>
      </c>
      <c r="AI10" s="2">
        <f t="shared" si="0"/>
        <v>0</v>
      </c>
      <c r="AJ10" s="2">
        <v>1</v>
      </c>
    </row>
    <row r="11" spans="1:36" ht="20.100000000000001" customHeight="1" x14ac:dyDescent="0.25">
      <c r="A11" s="20">
        <f>'Feb''2025'!A11+'Feb''2025'!AI11+'Feb''2025'!AJ11-'Feb''2025'!AH11</f>
        <v>54</v>
      </c>
      <c r="B11" s="45" t="str">
        <f>Jan!B12</f>
        <v>RK Singh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 t="s">
        <v>40</v>
      </c>
      <c r="V11" s="3" t="s">
        <v>40</v>
      </c>
      <c r="W11" s="2"/>
      <c r="X11" s="2"/>
      <c r="Y11" s="2"/>
      <c r="Z11" s="2" t="s">
        <v>40</v>
      </c>
      <c r="AA11" s="3" t="s">
        <v>40</v>
      </c>
      <c r="AB11" s="3"/>
      <c r="AC11" s="2"/>
      <c r="AD11" s="2"/>
      <c r="AE11" s="2"/>
      <c r="AF11" s="2"/>
      <c r="AG11" s="2"/>
      <c r="AH11" s="2">
        <f t="shared" si="1"/>
        <v>4</v>
      </c>
      <c r="AI11" s="2">
        <f t="shared" si="0"/>
        <v>0</v>
      </c>
      <c r="AJ11" s="2">
        <v>1</v>
      </c>
    </row>
    <row r="12" spans="1:36" ht="20.100000000000001" customHeight="1" x14ac:dyDescent="0.25">
      <c r="A12" s="20">
        <f>'Feb''2025'!A12+'Feb''2025'!AI12+'Feb''2025'!AJ12-'Feb''2025'!AH12</f>
        <v>56</v>
      </c>
      <c r="B12" s="45" t="str">
        <f>Jan!B16</f>
        <v>M Bishi</v>
      </c>
      <c r="C12" s="2"/>
      <c r="D12" s="2"/>
      <c r="E12" s="2" t="s">
        <v>39</v>
      </c>
      <c r="F12" s="2"/>
      <c r="G12" s="2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1</v>
      </c>
      <c r="AJ12" s="2">
        <v>1</v>
      </c>
    </row>
    <row r="13" spans="1:36" ht="20.100000000000001" customHeight="1" x14ac:dyDescent="0.25">
      <c r="A13" s="20">
        <f>'Feb''2025'!A13+'Feb''2025'!AI13+'Feb''2025'!AJ13-'Feb''2025'!AH13</f>
        <v>10</v>
      </c>
      <c r="B13" s="45" t="str">
        <f>Jan!B17</f>
        <v>S C Behera</v>
      </c>
      <c r="C13" s="2" t="s">
        <v>40</v>
      </c>
      <c r="D13" s="2" t="s">
        <v>40</v>
      </c>
      <c r="E13" s="3"/>
      <c r="F13" s="3" t="s">
        <v>40</v>
      </c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 t="s">
        <v>40</v>
      </c>
      <c r="AE13" s="2" t="s">
        <v>40</v>
      </c>
      <c r="AF13" s="2"/>
      <c r="AG13" s="2"/>
      <c r="AH13" s="2">
        <f t="shared" si="1"/>
        <v>5</v>
      </c>
      <c r="AI13" s="2">
        <f t="shared" si="0"/>
        <v>0</v>
      </c>
      <c r="AJ13" s="2">
        <v>1</v>
      </c>
    </row>
    <row r="14" spans="1:36" ht="20.100000000000001" customHeight="1" x14ac:dyDescent="0.25">
      <c r="A14" s="20">
        <f>'Feb''2025'!A14+'Feb''2025'!AI14+'Feb''2025'!AJ14-'Feb''2025'!AH14</f>
        <v>70</v>
      </c>
      <c r="B14" s="45" t="str">
        <f>Jan!B20</f>
        <v>M C Tudu</v>
      </c>
      <c r="C14" s="2"/>
      <c r="D14" s="2"/>
      <c r="E14" s="3"/>
      <c r="F14" s="3" t="s">
        <v>39</v>
      </c>
      <c r="G14" s="2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 t="s">
        <v>40</v>
      </c>
      <c r="V14" s="2"/>
      <c r="W14" s="2"/>
      <c r="X14" s="2"/>
      <c r="Y14" s="2"/>
      <c r="Z14" s="2"/>
      <c r="AA14" s="3"/>
      <c r="AB14" s="3" t="s">
        <v>40</v>
      </c>
      <c r="AC14" s="2" t="s">
        <v>40</v>
      </c>
      <c r="AD14" s="2"/>
      <c r="AE14" s="2"/>
      <c r="AF14" s="2"/>
      <c r="AG14" s="2"/>
      <c r="AH14" s="2">
        <f t="shared" si="1"/>
        <v>3</v>
      </c>
      <c r="AI14" s="2">
        <f t="shared" si="0"/>
        <v>1</v>
      </c>
      <c r="AJ14" s="2">
        <v>1</v>
      </c>
    </row>
    <row r="15" spans="1:36" ht="20.100000000000001" customHeight="1" x14ac:dyDescent="0.25">
      <c r="A15" s="20">
        <f>'Feb''2025'!A15+'Feb''2025'!AI15+'Feb''2025'!AJ15-'Feb''2025'!AH15</f>
        <v>50</v>
      </c>
      <c r="B15" s="45" t="str">
        <f>Jan!B15</f>
        <v>D Pangi</v>
      </c>
      <c r="C15" s="2"/>
      <c r="D15" s="2"/>
      <c r="E15" s="2"/>
      <c r="F15" s="3"/>
      <c r="G15" s="3"/>
      <c r="H15" s="3"/>
      <c r="I15" s="3"/>
      <c r="J15" s="3"/>
      <c r="K15" s="2"/>
      <c r="L15" s="2"/>
      <c r="M15" s="3"/>
      <c r="N15" s="3"/>
      <c r="O15" s="2"/>
      <c r="P15" s="2"/>
      <c r="Q15" s="2"/>
      <c r="R15" s="2"/>
      <c r="S15" s="2"/>
      <c r="T15" s="3"/>
      <c r="U15" s="3"/>
      <c r="V15" s="2"/>
      <c r="W15" s="2"/>
      <c r="X15" s="2"/>
      <c r="Y15" s="2"/>
      <c r="Z15" s="2"/>
      <c r="AA15" s="3"/>
      <c r="AB15" s="3"/>
      <c r="AC15" s="2"/>
      <c r="AD15" s="2"/>
      <c r="AE15" s="2"/>
      <c r="AF15" s="2"/>
      <c r="AG15" s="2"/>
      <c r="AH15" s="2">
        <f t="shared" si="1"/>
        <v>0</v>
      </c>
      <c r="AI15" s="2">
        <f t="shared" si="0"/>
        <v>0</v>
      </c>
      <c r="AJ15" s="2">
        <v>1</v>
      </c>
    </row>
    <row r="16" spans="1:36" x14ac:dyDescent="0.25">
      <c r="A16" s="11"/>
      <c r="C16" s="58" t="s">
        <v>41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21" spans="2:32" x14ac:dyDescent="0.25">
      <c r="AF21" s="69"/>
    </row>
    <row r="22" spans="2:32" x14ac:dyDescent="0.25">
      <c r="AF22" s="69"/>
    </row>
    <row r="23" spans="2:32" x14ac:dyDescent="0.25">
      <c r="AF23" s="69"/>
    </row>
    <row r="28" spans="2:32" x14ac:dyDescent="0.25">
      <c r="B28" s="9"/>
    </row>
  </sheetData>
  <mergeCells count="8">
    <mergeCell ref="C16:AH16"/>
    <mergeCell ref="AF21:AF23"/>
    <mergeCell ref="AE1:AH1"/>
    <mergeCell ref="A4:A5"/>
    <mergeCell ref="B4:B5"/>
    <mergeCell ref="AH4:AH5"/>
    <mergeCell ref="AI4:AI5"/>
    <mergeCell ref="AJ4:AJ5"/>
  </mergeCells>
  <conditionalFormatting sqref="AG7 O6:AG6 N8 R8:AG8 D9:AG9 G13:AG14 C15:AG15 G7:M7 R7:AE7 C8:L8 C10:AG12 C13:D14 C6:K6">
    <cfRule type="containsText" dxfId="35" priority="17" operator="containsText" text="e">
      <formula>NOT(ISERROR(SEARCH("e",C6)))</formula>
    </cfRule>
    <cfRule type="containsText" dxfId="34" priority="18" operator="containsText" text="co">
      <formula>NOT(ISERROR(SEARCH("co",C6)))</formula>
    </cfRule>
  </conditionalFormatting>
  <conditionalFormatting sqref="L6">
    <cfRule type="containsText" dxfId="33" priority="15" operator="containsText" text="e">
      <formula>NOT(ISERROR(SEARCH("e",L6)))</formula>
    </cfRule>
    <cfRule type="containsText" dxfId="32" priority="16" operator="containsText" text="co">
      <formula>NOT(ISERROR(SEARCH("co",L6)))</formula>
    </cfRule>
  </conditionalFormatting>
  <conditionalFormatting sqref="M6:N6">
    <cfRule type="containsText" dxfId="31" priority="13" operator="containsText" text="e">
      <formula>NOT(ISERROR(SEARCH("e",M6)))</formula>
    </cfRule>
    <cfRule type="containsText" dxfId="30" priority="14" operator="containsText" text="co">
      <formula>NOT(ISERROR(SEARCH("co",M6)))</formula>
    </cfRule>
  </conditionalFormatting>
  <conditionalFormatting sqref="N7:Q7">
    <cfRule type="containsText" dxfId="29" priority="11" operator="containsText" text="e">
      <formula>NOT(ISERROR(SEARCH("e",N7)))</formula>
    </cfRule>
    <cfRule type="containsText" dxfId="28" priority="12" operator="containsText" text="co">
      <formula>NOT(ISERROR(SEARCH("co",N7)))</formula>
    </cfRule>
  </conditionalFormatting>
  <conditionalFormatting sqref="M8">
    <cfRule type="containsText" dxfId="27" priority="9" operator="containsText" text="e">
      <formula>NOT(ISERROR(SEARCH("e",M8)))</formula>
    </cfRule>
    <cfRule type="containsText" dxfId="26" priority="10" operator="containsText" text="co">
      <formula>NOT(ISERROR(SEARCH("co",M8)))</formula>
    </cfRule>
  </conditionalFormatting>
  <conditionalFormatting sqref="O8:Q8">
    <cfRule type="containsText" dxfId="25" priority="7" operator="containsText" text="e">
      <formula>NOT(ISERROR(SEARCH("e",O8)))</formula>
    </cfRule>
    <cfRule type="containsText" dxfId="24" priority="8" operator="containsText" text="co">
      <formula>NOT(ISERROR(SEARCH("co",O8)))</formula>
    </cfRule>
  </conditionalFormatting>
  <conditionalFormatting sqref="C9">
    <cfRule type="containsText" dxfId="23" priority="5" operator="containsText" text="e">
      <formula>NOT(ISERROR(SEARCH("e",C9)))</formula>
    </cfRule>
    <cfRule type="containsText" dxfId="22" priority="6" operator="containsText" text="co">
      <formula>NOT(ISERROR(SEARCH("co",C9)))</formula>
    </cfRule>
  </conditionalFormatting>
  <conditionalFormatting sqref="E13:F14">
    <cfRule type="containsText" dxfId="21" priority="3" operator="containsText" text="e">
      <formula>NOT(ISERROR(SEARCH("e",E13)))</formula>
    </cfRule>
    <cfRule type="containsText" dxfId="20" priority="4" operator="containsText" text="co">
      <formula>NOT(ISERROR(SEARCH("co",E13)))</formula>
    </cfRule>
  </conditionalFormatting>
  <conditionalFormatting sqref="C7:F7">
    <cfRule type="containsText" dxfId="19" priority="1" operator="containsText" text="e">
      <formula>NOT(ISERROR(SEARCH("e",C7)))</formula>
    </cfRule>
    <cfRule type="containsText" dxfId="18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tabSelected="1" zoomScaleNormal="100" workbookViewId="0">
      <selection activeCell="U20" sqref="U20"/>
    </sheetView>
  </sheetViews>
  <sheetFormatPr defaultColWidth="11" defaultRowHeight="15.75" x14ac:dyDescent="0.25"/>
  <cols>
    <col min="1" max="1" width="5" customWidth="1"/>
    <col min="2" max="2" width="15" customWidth="1"/>
    <col min="3" max="33" width="4" customWidth="1"/>
  </cols>
  <sheetData>
    <row r="1" spans="1:36" x14ac:dyDescent="0.25">
      <c r="B1" s="6" t="s">
        <v>10</v>
      </c>
      <c r="C1" s="6"/>
      <c r="AE1" s="57" t="s">
        <v>85</v>
      </c>
      <c r="AF1" s="57"/>
      <c r="AG1" s="57"/>
      <c r="AH1" s="57"/>
    </row>
    <row r="2" spans="1:36" ht="12" customHeight="1" x14ac:dyDescent="0.25"/>
    <row r="3" spans="1:36" ht="12" customHeight="1" x14ac:dyDescent="0.25"/>
    <row r="4" spans="1:36" ht="12" customHeight="1" x14ac:dyDescent="0.25">
      <c r="A4" s="61" t="s">
        <v>38</v>
      </c>
      <c r="B4" s="62" t="s">
        <v>9</v>
      </c>
      <c r="C4" s="41">
        <v>1</v>
      </c>
      <c r="D4" s="41">
        <v>2</v>
      </c>
      <c r="E4" s="41">
        <v>3</v>
      </c>
      <c r="F4" s="41">
        <v>4</v>
      </c>
      <c r="G4" s="41">
        <v>5</v>
      </c>
      <c r="H4" s="41">
        <v>6</v>
      </c>
      <c r="I4" s="41">
        <v>7</v>
      </c>
      <c r="J4" s="41">
        <v>8</v>
      </c>
      <c r="K4" s="41">
        <v>9</v>
      </c>
      <c r="L4" s="41">
        <v>10</v>
      </c>
      <c r="M4" s="41">
        <v>11</v>
      </c>
      <c r="N4" s="41">
        <v>12</v>
      </c>
      <c r="O4" s="41">
        <v>13</v>
      </c>
      <c r="P4" s="41">
        <v>14</v>
      </c>
      <c r="Q4" s="41">
        <v>15</v>
      </c>
      <c r="R4" s="41">
        <v>16</v>
      </c>
      <c r="S4" s="41">
        <v>17</v>
      </c>
      <c r="T4" s="41">
        <v>18</v>
      </c>
      <c r="U4" s="41">
        <v>19</v>
      </c>
      <c r="V4" s="41">
        <v>20</v>
      </c>
      <c r="W4" s="41">
        <v>21</v>
      </c>
      <c r="X4" s="41">
        <v>22</v>
      </c>
      <c r="Y4" s="41">
        <v>23</v>
      </c>
      <c r="Z4" s="41">
        <v>24</v>
      </c>
      <c r="AA4" s="41">
        <v>25</v>
      </c>
      <c r="AB4" s="41">
        <v>26</v>
      </c>
      <c r="AC4" s="41">
        <v>27</v>
      </c>
      <c r="AD4" s="41">
        <v>28</v>
      </c>
      <c r="AE4" s="41">
        <v>29</v>
      </c>
      <c r="AF4" s="41">
        <v>30</v>
      </c>
      <c r="AG4" s="41"/>
      <c r="AH4" s="55" t="s">
        <v>34</v>
      </c>
      <c r="AI4" s="55" t="s">
        <v>32</v>
      </c>
      <c r="AJ4" s="55" t="s">
        <v>33</v>
      </c>
    </row>
    <row r="5" spans="1:36" ht="12" customHeight="1" x14ac:dyDescent="0.25">
      <c r="A5" s="61"/>
      <c r="B5" s="62"/>
      <c r="C5" s="41" t="s">
        <v>54</v>
      </c>
      <c r="D5" s="41" t="s">
        <v>55</v>
      </c>
      <c r="E5" s="41" t="s">
        <v>56</v>
      </c>
      <c r="F5" s="41" t="s">
        <v>57</v>
      </c>
      <c r="G5" s="41" t="s">
        <v>58</v>
      </c>
      <c r="H5" s="41" t="s">
        <v>59</v>
      </c>
      <c r="I5" s="41" t="s">
        <v>60</v>
      </c>
      <c r="J5" s="41" t="s">
        <v>54</v>
      </c>
      <c r="K5" s="41" t="s">
        <v>55</v>
      </c>
      <c r="L5" s="41" t="s">
        <v>56</v>
      </c>
      <c r="M5" s="41" t="s">
        <v>57</v>
      </c>
      <c r="N5" s="41" t="s">
        <v>58</v>
      </c>
      <c r="O5" s="41" t="s">
        <v>59</v>
      </c>
      <c r="P5" s="41" t="s">
        <v>60</v>
      </c>
      <c r="Q5" s="41" t="s">
        <v>54</v>
      </c>
      <c r="R5" s="41" t="s">
        <v>55</v>
      </c>
      <c r="S5" s="41" t="s">
        <v>56</v>
      </c>
      <c r="T5" s="41" t="s">
        <v>57</v>
      </c>
      <c r="U5" s="41" t="s">
        <v>58</v>
      </c>
      <c r="V5" s="41" t="s">
        <v>59</v>
      </c>
      <c r="W5" s="41" t="s">
        <v>60</v>
      </c>
      <c r="X5" s="41" t="s">
        <v>54</v>
      </c>
      <c r="Y5" s="41" t="s">
        <v>55</v>
      </c>
      <c r="Z5" s="41" t="s">
        <v>56</v>
      </c>
      <c r="AA5" s="41" t="s">
        <v>57</v>
      </c>
      <c r="AB5" s="41" t="s">
        <v>58</v>
      </c>
      <c r="AC5" s="41" t="s">
        <v>59</v>
      </c>
      <c r="AD5" s="41" t="s">
        <v>60</v>
      </c>
      <c r="AE5" s="41" t="s">
        <v>54</v>
      </c>
      <c r="AF5" s="41" t="s">
        <v>55</v>
      </c>
      <c r="AG5" s="41"/>
      <c r="AH5" s="56"/>
      <c r="AI5" s="56"/>
      <c r="AJ5" s="56"/>
    </row>
    <row r="6" spans="1:36" ht="20.100000000000001" customHeight="1" x14ac:dyDescent="0.25">
      <c r="A6" s="28"/>
      <c r="B6" s="45" t="str">
        <f>Jan!B22</f>
        <v>S K Nayak</v>
      </c>
      <c r="C6" s="2"/>
      <c r="D6" s="2"/>
      <c r="E6" s="2"/>
      <c r="F6" s="2"/>
      <c r="G6" s="2"/>
      <c r="H6" s="2"/>
      <c r="I6" s="2"/>
      <c r="J6" s="2"/>
      <c r="K6" s="3"/>
      <c r="L6" s="2"/>
      <c r="M6" s="3"/>
      <c r="N6" s="3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3"/>
      <c r="AB6" s="3"/>
      <c r="AC6" s="2"/>
      <c r="AD6" s="2"/>
      <c r="AE6" s="2"/>
      <c r="AF6" s="2"/>
      <c r="AG6" s="2"/>
      <c r="AH6" s="2">
        <f>COUNTIF(C6:AG6, "CO")</f>
        <v>0</v>
      </c>
      <c r="AI6" s="2">
        <f t="shared" ref="AI6:AI14" si="0">COUNTIF(C6:AG6, "E")</f>
        <v>0</v>
      </c>
      <c r="AJ6" s="2">
        <v>1</v>
      </c>
    </row>
    <row r="7" spans="1:36" ht="20.100000000000001" customHeight="1" x14ac:dyDescent="0.25">
      <c r="A7" s="20">
        <v>49</v>
      </c>
      <c r="B7" s="45" t="str">
        <f>Jan!B23</f>
        <v>S K Parida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G7" s="2"/>
      <c r="AH7" s="2">
        <f>COUNTIF(C7:AG7, "CO")</f>
        <v>0</v>
      </c>
      <c r="AI7" s="2">
        <f t="shared" si="0"/>
        <v>0</v>
      </c>
      <c r="AJ7" s="2">
        <v>1</v>
      </c>
    </row>
    <row r="8" spans="1:36" ht="20.100000000000001" customHeight="1" x14ac:dyDescent="0.25">
      <c r="A8" s="20">
        <f>'Mar''2025'!A8+'Mar''2025'!AI8+'Mar''2025'!AJ8-'Mar''2025'!AH8</f>
        <v>53</v>
      </c>
      <c r="B8" s="45" t="str">
        <f>Jan!B18</f>
        <v>S K Sahoo</v>
      </c>
      <c r="C8" s="2"/>
      <c r="D8" s="2"/>
      <c r="E8" s="2"/>
      <c r="F8" s="2"/>
      <c r="G8" s="3"/>
      <c r="H8" s="2"/>
      <c r="I8" s="2"/>
      <c r="J8" s="2"/>
      <c r="K8" s="2"/>
      <c r="L8" s="2"/>
      <c r="M8" s="3"/>
      <c r="N8" s="3"/>
      <c r="O8" s="3"/>
      <c r="P8" s="3"/>
      <c r="Q8" s="3"/>
      <c r="R8" s="2"/>
      <c r="S8" s="2"/>
      <c r="T8" s="3"/>
      <c r="U8" s="3"/>
      <c r="V8" s="2"/>
      <c r="W8" s="2"/>
      <c r="X8" s="2"/>
      <c r="Y8" s="2"/>
      <c r="Z8" s="2"/>
      <c r="AA8" s="3"/>
      <c r="AB8" s="3"/>
      <c r="AC8" s="2"/>
      <c r="AD8" s="2"/>
      <c r="AE8" s="2"/>
      <c r="AF8" s="2"/>
      <c r="AG8" s="2"/>
      <c r="AH8" s="2">
        <f>COUNTIF(C8:AG8, "CO")</f>
        <v>0</v>
      </c>
      <c r="AI8" s="2">
        <f t="shared" si="0"/>
        <v>0</v>
      </c>
      <c r="AJ8" s="2">
        <v>1</v>
      </c>
    </row>
    <row r="9" spans="1:36" ht="20.100000000000001" customHeight="1" x14ac:dyDescent="0.25">
      <c r="A9" s="20">
        <f>'Mar''2025'!A10+'Mar''2025'!AI10+'Mar''2025'!AJ10-'Mar''2025'!AH10</f>
        <v>16</v>
      </c>
      <c r="B9" s="45" t="str">
        <f>Jan!B19</f>
        <v>A K Dalai</v>
      </c>
      <c r="C9" s="3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2"/>
      <c r="P9" s="2"/>
      <c r="Q9" s="2"/>
      <c r="R9" s="2"/>
      <c r="S9" s="2"/>
      <c r="T9" s="3"/>
      <c r="U9" s="3"/>
      <c r="V9" s="2"/>
      <c r="W9" s="2"/>
      <c r="X9" s="2"/>
      <c r="Y9" s="2"/>
      <c r="Z9" s="2"/>
      <c r="AA9" s="3"/>
      <c r="AB9" s="3"/>
      <c r="AC9" s="2"/>
      <c r="AD9" s="2"/>
      <c r="AE9" s="2"/>
      <c r="AF9" s="2"/>
      <c r="AG9" s="2"/>
      <c r="AH9" s="2">
        <f>COUNTIF(C9:AG9, "CO")</f>
        <v>0</v>
      </c>
      <c r="AI9" s="2">
        <f t="shared" si="0"/>
        <v>0</v>
      </c>
      <c r="AJ9" s="2">
        <v>1</v>
      </c>
    </row>
    <row r="10" spans="1:36" ht="20.100000000000001" customHeight="1" x14ac:dyDescent="0.25">
      <c r="A10" s="20">
        <f>'Mar''2025'!A11+'Mar''2025'!AI11+'Mar''2025'!AJ11-'Mar''2025'!AH11</f>
        <v>51</v>
      </c>
      <c r="B10" s="45" t="str">
        <f>Jan!B12</f>
        <v>RK Singh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3"/>
      <c r="U10" s="3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2"/>
      <c r="AG10" s="2"/>
      <c r="AH10" s="2">
        <f t="shared" ref="AH10:AH14" si="1">COUNTIF(C10:AG10, "CO")</f>
        <v>0</v>
      </c>
      <c r="AI10" s="2">
        <f t="shared" si="0"/>
        <v>0</v>
      </c>
      <c r="AJ10" s="2">
        <v>1</v>
      </c>
    </row>
    <row r="11" spans="1:36" ht="20.100000000000001" customHeight="1" x14ac:dyDescent="0.25">
      <c r="A11" s="20">
        <f>'Mar''2025'!A12+'Mar''2025'!AI12+'Mar''2025'!AJ12-'Mar''2025'!AH12</f>
        <v>58</v>
      </c>
      <c r="B11" s="45" t="str">
        <f>Jan!B16</f>
        <v>M Bishi</v>
      </c>
      <c r="C11" s="2"/>
      <c r="D11" s="2"/>
      <c r="E11" s="2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3"/>
      <c r="W11" s="2"/>
      <c r="X11" s="2"/>
      <c r="Y11" s="2"/>
      <c r="Z11" s="2"/>
      <c r="AA11" s="3"/>
      <c r="AB11" s="3"/>
      <c r="AC11" s="2"/>
      <c r="AD11" s="2"/>
      <c r="AE11" s="2"/>
      <c r="AF11" s="2"/>
      <c r="AG11" s="2"/>
      <c r="AH11" s="2">
        <f t="shared" si="1"/>
        <v>0</v>
      </c>
      <c r="AI11" s="2">
        <f t="shared" si="0"/>
        <v>0</v>
      </c>
      <c r="AJ11" s="2">
        <v>1</v>
      </c>
    </row>
    <row r="12" spans="1:36" ht="20.100000000000001" customHeight="1" x14ac:dyDescent="0.25">
      <c r="A12" s="20">
        <f>'Mar''2025'!A13+'Mar''2025'!AI13+'Mar''2025'!AJ13-'Mar''2025'!AH13</f>
        <v>6</v>
      </c>
      <c r="B12" s="45" t="str">
        <f>Jan!B17</f>
        <v>S C Behera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3"/>
      <c r="U12" s="3"/>
      <c r="V12" s="2"/>
      <c r="W12" s="2"/>
      <c r="X12" s="2"/>
      <c r="Y12" s="2"/>
      <c r="Z12" s="2"/>
      <c r="AA12" s="3"/>
      <c r="AB12" s="3"/>
      <c r="AC12" s="2"/>
      <c r="AD12" s="2"/>
      <c r="AE12" s="2"/>
      <c r="AF12" s="2"/>
      <c r="AG12" s="2"/>
      <c r="AH12" s="2">
        <f t="shared" si="1"/>
        <v>0</v>
      </c>
      <c r="AI12" s="2">
        <f t="shared" si="0"/>
        <v>0</v>
      </c>
      <c r="AJ12" s="2">
        <v>1</v>
      </c>
    </row>
    <row r="13" spans="1:36" ht="20.100000000000001" customHeight="1" x14ac:dyDescent="0.25">
      <c r="A13" s="20">
        <f>'Mar''2025'!A14+'Mar''2025'!AI14+'Mar''2025'!AJ14-'Mar''2025'!AH14</f>
        <v>69</v>
      </c>
      <c r="B13" s="45" t="str">
        <f>Jan!B20</f>
        <v>M C Tudu</v>
      </c>
      <c r="C13" s="2"/>
      <c r="D13" s="2"/>
      <c r="E13" s="3"/>
      <c r="F13" s="3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3"/>
      <c r="U13" s="3"/>
      <c r="V13" s="2"/>
      <c r="W13" s="2"/>
      <c r="X13" s="2"/>
      <c r="Y13" s="2"/>
      <c r="Z13" s="2"/>
      <c r="AA13" s="3"/>
      <c r="AB13" s="3"/>
      <c r="AC13" s="2"/>
      <c r="AD13" s="2"/>
      <c r="AE13" s="2"/>
      <c r="AF13" s="2"/>
      <c r="AG13" s="2"/>
      <c r="AH13" s="2">
        <f t="shared" si="1"/>
        <v>0</v>
      </c>
      <c r="AI13" s="2">
        <f t="shared" si="0"/>
        <v>0</v>
      </c>
      <c r="AJ13" s="2">
        <v>1</v>
      </c>
    </row>
    <row r="14" spans="1:36" ht="20.100000000000001" customHeight="1" x14ac:dyDescent="0.25">
      <c r="A14" s="20">
        <f>'Mar''2025'!A15+'Mar''2025'!AI15+'Mar''2025'!AJ15-'Mar''2025'!AH15</f>
        <v>51</v>
      </c>
      <c r="B14" s="45" t="str">
        <f>Jan!B15</f>
        <v>D Pangi</v>
      </c>
      <c r="C14" s="2"/>
      <c r="D14" s="2"/>
      <c r="E14" s="3"/>
      <c r="F14" s="3"/>
      <c r="G14" s="2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3"/>
      <c r="U14" s="3"/>
      <c r="V14" s="2"/>
      <c r="W14" s="2"/>
      <c r="X14" s="2"/>
      <c r="Y14" s="2"/>
      <c r="Z14" s="2"/>
      <c r="AA14" s="3"/>
      <c r="AB14" s="3"/>
      <c r="AC14" s="2"/>
      <c r="AD14" s="2"/>
      <c r="AE14" s="2"/>
      <c r="AF14" s="2"/>
      <c r="AG14" s="2"/>
      <c r="AH14" s="2">
        <f t="shared" si="1"/>
        <v>0</v>
      </c>
      <c r="AI14" s="2">
        <f t="shared" si="0"/>
        <v>0</v>
      </c>
      <c r="AJ14" s="2">
        <v>1</v>
      </c>
    </row>
    <row r="15" spans="1:36" x14ac:dyDescent="0.25">
      <c r="A15" s="11"/>
      <c r="C15" s="58" t="s">
        <v>41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60"/>
    </row>
    <row r="20" spans="2:32" x14ac:dyDescent="0.25">
      <c r="AF20" s="69"/>
    </row>
    <row r="21" spans="2:32" x14ac:dyDescent="0.25">
      <c r="AF21" s="69"/>
    </row>
    <row r="22" spans="2:32" x14ac:dyDescent="0.25">
      <c r="AF22" s="69"/>
    </row>
    <row r="27" spans="2:32" x14ac:dyDescent="0.25">
      <c r="B27" s="9"/>
    </row>
  </sheetData>
  <mergeCells count="8">
    <mergeCell ref="C15:AH15"/>
    <mergeCell ref="AF20:AF22"/>
    <mergeCell ref="AE1:AH1"/>
    <mergeCell ref="A4:A5"/>
    <mergeCell ref="B4:B5"/>
    <mergeCell ref="AH4:AH5"/>
    <mergeCell ref="AI4:AI5"/>
    <mergeCell ref="AJ4:AJ5"/>
  </mergeCells>
  <conditionalFormatting sqref="AG7 O6:AG6 N8 R8:AG8 D9:AG9 G13:AG14 G7:M7 R7:AE7 C8:L8 C10:AG12 C13:D14 C6:K6">
    <cfRule type="containsText" dxfId="17" priority="17" operator="containsText" text="e">
      <formula>NOT(ISERROR(SEARCH("e",C6)))</formula>
    </cfRule>
    <cfRule type="containsText" dxfId="16" priority="18" operator="containsText" text="co">
      <formula>NOT(ISERROR(SEARCH("co",C6)))</formula>
    </cfRule>
  </conditionalFormatting>
  <conditionalFormatting sqref="L6">
    <cfRule type="containsText" dxfId="15" priority="15" operator="containsText" text="e">
      <formula>NOT(ISERROR(SEARCH("e",L6)))</formula>
    </cfRule>
    <cfRule type="containsText" dxfId="14" priority="16" operator="containsText" text="co">
      <formula>NOT(ISERROR(SEARCH("co",L6)))</formula>
    </cfRule>
  </conditionalFormatting>
  <conditionalFormatting sqref="M6:N6">
    <cfRule type="containsText" dxfId="13" priority="13" operator="containsText" text="e">
      <formula>NOT(ISERROR(SEARCH("e",M6)))</formula>
    </cfRule>
    <cfRule type="containsText" dxfId="12" priority="14" operator="containsText" text="co">
      <formula>NOT(ISERROR(SEARCH("co",M6)))</formula>
    </cfRule>
  </conditionalFormatting>
  <conditionalFormatting sqref="N7:Q7">
    <cfRule type="containsText" dxfId="11" priority="11" operator="containsText" text="e">
      <formula>NOT(ISERROR(SEARCH("e",N7)))</formula>
    </cfRule>
    <cfRule type="containsText" dxfId="10" priority="12" operator="containsText" text="co">
      <formula>NOT(ISERROR(SEARCH("co",N7)))</formula>
    </cfRule>
  </conditionalFormatting>
  <conditionalFormatting sqref="M8">
    <cfRule type="containsText" dxfId="9" priority="9" operator="containsText" text="e">
      <formula>NOT(ISERROR(SEARCH("e",M8)))</formula>
    </cfRule>
    <cfRule type="containsText" dxfId="8" priority="10" operator="containsText" text="co">
      <formula>NOT(ISERROR(SEARCH("co",M8)))</formula>
    </cfRule>
  </conditionalFormatting>
  <conditionalFormatting sqref="O8:Q8">
    <cfRule type="containsText" dxfId="7" priority="7" operator="containsText" text="e">
      <formula>NOT(ISERROR(SEARCH("e",O8)))</formula>
    </cfRule>
    <cfRule type="containsText" dxfId="6" priority="8" operator="containsText" text="co">
      <formula>NOT(ISERROR(SEARCH("co",O8)))</formula>
    </cfRule>
  </conditionalFormatting>
  <conditionalFormatting sqref="C9">
    <cfRule type="containsText" dxfId="5" priority="5" operator="containsText" text="e">
      <formula>NOT(ISERROR(SEARCH("e",C9)))</formula>
    </cfRule>
    <cfRule type="containsText" dxfId="4" priority="6" operator="containsText" text="co">
      <formula>NOT(ISERROR(SEARCH("co",C9)))</formula>
    </cfRule>
  </conditionalFormatting>
  <conditionalFormatting sqref="E13:F14">
    <cfRule type="containsText" dxfId="3" priority="3" operator="containsText" text="e">
      <formula>NOT(ISERROR(SEARCH("e",E13)))</formula>
    </cfRule>
    <cfRule type="containsText" dxfId="2" priority="4" operator="containsText" text="co">
      <formula>NOT(ISERROR(SEARCH("co",E13)))</formula>
    </cfRule>
  </conditionalFormatting>
  <conditionalFormatting sqref="C7:F7">
    <cfRule type="containsText" dxfId="1" priority="1" operator="containsText" text="e">
      <formula>NOT(ISERROR(SEARCH("e",C7)))</formula>
    </cfRule>
    <cfRule type="containsText" dxfId="0" priority="2" operator="containsText" text="co">
      <formula>NOT(ISERROR(SEARCH("co",C7)))</formula>
    </cfRule>
  </conditionalFormatting>
  <pageMargins left="0.7" right="0.7" top="0.75" bottom="0.75" header="0.3" footer="0.3"/>
  <pageSetup paperSize="9" orientation="landscape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9"/>
  <sheetViews>
    <sheetView zoomScaleNormal="100" workbookViewId="0">
      <selection activeCell="A22" sqref="A22"/>
    </sheetView>
  </sheetViews>
  <sheetFormatPr defaultColWidth="8.875" defaultRowHeight="15.75" x14ac:dyDescent="0.25"/>
  <cols>
    <col min="1" max="1" width="18.625" customWidth="1"/>
  </cols>
  <sheetData>
    <row r="2" spans="1:1" x14ac:dyDescent="0.25">
      <c r="A2" t="s">
        <v>7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31</v>
      </c>
    </row>
    <row r="6" spans="1:1" x14ac:dyDescent="0.25">
      <c r="A6" s="11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s="11" t="s">
        <v>28</v>
      </c>
    </row>
    <row r="10" spans="1:1" x14ac:dyDescent="0.25">
      <c r="A10" s="11" t="s">
        <v>44</v>
      </c>
    </row>
    <row r="11" spans="1:1" x14ac:dyDescent="0.25">
      <c r="A11" s="11" t="s">
        <v>29</v>
      </c>
    </row>
    <row r="12" spans="1:1" x14ac:dyDescent="0.25">
      <c r="A12" s="11" t="s">
        <v>30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48</v>
      </c>
    </row>
    <row r="16" spans="1:1" x14ac:dyDescent="0.25">
      <c r="A16" t="s">
        <v>52</v>
      </c>
    </row>
    <row r="17" spans="1:1" x14ac:dyDescent="0.25">
      <c r="A17" t="s">
        <v>61</v>
      </c>
    </row>
    <row r="18" spans="1:1" x14ac:dyDescent="0.25">
      <c r="A18" t="s">
        <v>65</v>
      </c>
    </row>
    <row r="19" spans="1:1" x14ac:dyDescent="0.25">
      <c r="A19" t="s">
        <v>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29</vt:i4>
      </vt:variant>
    </vt:vector>
  </HeadingPairs>
  <TitlesOfParts>
    <vt:vector size="59" baseType="lpstr">
      <vt:lpstr>2023 Totals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Jan24</vt:lpstr>
      <vt:lpstr>FEB24</vt:lpstr>
      <vt:lpstr>mAR24</vt:lpstr>
      <vt:lpstr>Apr24</vt:lpstr>
      <vt:lpstr>mAY24</vt:lpstr>
      <vt:lpstr>jUN24</vt:lpstr>
      <vt:lpstr>jULY24</vt:lpstr>
      <vt:lpstr>aUG'24</vt:lpstr>
      <vt:lpstr>Sep'24</vt:lpstr>
      <vt:lpstr>oct'24</vt:lpstr>
      <vt:lpstr>nov'24</vt:lpstr>
      <vt:lpstr>dec'24</vt:lpstr>
      <vt:lpstr>Jan'2025</vt:lpstr>
      <vt:lpstr>Feb'2025</vt:lpstr>
      <vt:lpstr>Mar'2025</vt:lpstr>
      <vt:lpstr>aPR'2025</vt:lpstr>
      <vt:lpstr>Employees</vt:lpstr>
      <vt:lpstr>employees</vt:lpstr>
      <vt:lpstr>Apr!Print_Area</vt:lpstr>
      <vt:lpstr>'aPR''2025'!Print_Area</vt:lpstr>
      <vt:lpstr>'Apr24'!Print_Area</vt:lpstr>
      <vt:lpstr>Aug!Print_Area</vt:lpstr>
      <vt:lpstr>'aUG''24'!Print_Area</vt:lpstr>
      <vt:lpstr>Dec!Print_Area</vt:lpstr>
      <vt:lpstr>'dec''24'!Print_Area</vt:lpstr>
      <vt:lpstr>Feb!Print_Area</vt:lpstr>
      <vt:lpstr>'Feb''2025'!Print_Area</vt:lpstr>
      <vt:lpstr>'FEB24'!Print_Area</vt:lpstr>
      <vt:lpstr>Jan!Print_Area</vt:lpstr>
      <vt:lpstr>'Jan''2025'!Print_Area</vt:lpstr>
      <vt:lpstr>'Jan24'!Print_Area</vt:lpstr>
      <vt:lpstr>Jul!Print_Area</vt:lpstr>
      <vt:lpstr>jULY24!Print_Area</vt:lpstr>
      <vt:lpstr>Jun!Print_Area</vt:lpstr>
      <vt:lpstr>'jUN24'!Print_Area</vt:lpstr>
      <vt:lpstr>Mar!Print_Area</vt:lpstr>
      <vt:lpstr>'Mar''2025'!Print_Area</vt:lpstr>
      <vt:lpstr>'mAR24'!Print_Area</vt:lpstr>
      <vt:lpstr>May!Print_Area</vt:lpstr>
      <vt:lpstr>'mAY24'!Print_Area</vt:lpstr>
      <vt:lpstr>Nov!Print_Area</vt:lpstr>
      <vt:lpstr>'nov''24'!Print_Area</vt:lpstr>
      <vt:lpstr>Oct!Print_Area</vt:lpstr>
      <vt:lpstr>'oct''24'!Print_Area</vt:lpstr>
      <vt:lpstr>Sep!Print_Area</vt:lpstr>
      <vt:lpstr>'Sep''24'!Print_Area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 maniraja</cp:lastModifiedBy>
  <dcterms:created xsi:type="dcterms:W3CDTF">2020-12-08T07:15:05Z</dcterms:created>
  <dcterms:modified xsi:type="dcterms:W3CDTF">2025-04-01T10:40:31Z</dcterms:modified>
</cp:coreProperties>
</file>